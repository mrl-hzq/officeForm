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mail\OneDrive\Desktop\MSB\MSBFORM\"/>
    </mc:Choice>
  </mc:AlternateContent>
  <xr:revisionPtr revIDLastSave="0" documentId="13_ncr:1_{D98215A4-FFE6-4C0A-BB8D-8C018B1359FC}" xr6:coauthVersionLast="47" xr6:coauthVersionMax="47" xr10:uidLastSave="{00000000-0000-0000-0000-000000000000}"/>
  <bookViews>
    <workbookView xWindow="-120" yWindow="-120" windowWidth="38640" windowHeight="24240" activeTab="1" xr2:uid="{577604CB-39DB-4B1F-9016-14B0DE37E7B2}"/>
  </bookViews>
  <sheets>
    <sheet name="Panduan" sheetId="17" r:id="rId1"/>
    <sheet name="MASTER" sheetId="15" r:id="rId2"/>
  </sheets>
  <definedNames>
    <definedName name="_xlnm.Print_Area" localSheetId="1">MASTER!$A$1:$I$124</definedName>
    <definedName name="_xlnm.Print_Area" localSheetId="0">Panduan!$A$1:$E$88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8" i="15" l="1"/>
  <c r="H99" i="15" s="1"/>
  <c r="H91" i="15"/>
  <c r="H90" i="15"/>
  <c r="H95" i="15"/>
  <c r="H94" i="15"/>
  <c r="H87" i="15"/>
  <c r="H86" i="15"/>
  <c r="H85" i="15"/>
  <c r="H69" i="15"/>
  <c r="H82" i="15" s="1"/>
  <c r="H61" i="15"/>
  <c r="H81" i="15" s="1"/>
  <c r="H53" i="15"/>
  <c r="H80" i="15" s="1"/>
  <c r="H45" i="15"/>
  <c r="H37" i="15"/>
  <c r="H78" i="15" s="1"/>
  <c r="H29" i="15"/>
  <c r="H77" i="15" s="1"/>
  <c r="H21" i="15"/>
  <c r="H76" i="15" s="1"/>
  <c r="H92" i="15" l="1"/>
  <c r="H96" i="15"/>
  <c r="H79" i="15"/>
  <c r="H83" i="15" s="1"/>
  <c r="H88" i="15"/>
  <c r="H71" i="15"/>
  <c r="H101" i="15" l="1"/>
</calcChain>
</file>

<file path=xl/sharedStrings.xml><?xml version="1.0" encoding="utf-8"?>
<sst xmlns="http://schemas.openxmlformats.org/spreadsheetml/2006/main" count="194" uniqueCount="154">
  <si>
    <t>Pengetahuan dan Kemahiran</t>
  </si>
  <si>
    <t>Pemahaman teori dan pengetahuan praktikal dalam bidang tugas</t>
  </si>
  <si>
    <t>Menggunakan kepakaran untuk menambahbaik tugasan yang diberi</t>
  </si>
  <si>
    <t>Berkongsi pengetahuan dan kemahiran dengan ahli pasukan</t>
  </si>
  <si>
    <t>Kepatuhan kepada polisi dan prosedur syarikat</t>
  </si>
  <si>
    <t>Kualiti Kerja</t>
  </si>
  <si>
    <t>Kualiti dan hasil kerja</t>
  </si>
  <si>
    <t>Kekemasan dan ketelitian dalam menghasilkan tugas</t>
  </si>
  <si>
    <t>Membuat penambahbaikan dalam tugasan</t>
  </si>
  <si>
    <t>Kemahiran menulis (laporan/surat/proposal/etc)</t>
  </si>
  <si>
    <t>Penggunaan masa untuk menghasilkan tugasan</t>
  </si>
  <si>
    <t>Kebolehan menyelesaikan masalah dengan cekap</t>
  </si>
  <si>
    <t>Kebolehan menyelesaikan masalah tanpa bantuan penyelia</t>
  </si>
  <si>
    <t>Kebolehan memberi penerangan kepada jalan penyelesaian</t>
  </si>
  <si>
    <t>Menyelesaikan isu dan masalah klien dengan berkesan dan cekap</t>
  </si>
  <si>
    <t>Tetap tenang semasa menghadapi konflik</t>
  </si>
  <si>
    <t>Komunikasi</t>
  </si>
  <si>
    <t>Kebolehan menyampaikan sesuatu maklumat</t>
  </si>
  <si>
    <t>Kebolehan mendengar dan menerima maklumat dari orang lain</t>
  </si>
  <si>
    <t>Bersikap positif ketika berinteraksi</t>
  </si>
  <si>
    <t>Penerimaan terhadap kritikan</t>
  </si>
  <si>
    <t>Mewujudkan suasana harmoni dan mesra semasa berkomunikasi</t>
  </si>
  <si>
    <t>Pasukan</t>
  </si>
  <si>
    <t>Keupayaan untuk mendengar dan mengikuti arahan</t>
  </si>
  <si>
    <t>Bekerjasama dan membantu semasa diperlukan</t>
  </si>
  <si>
    <t>Seorang yang komited dan aktif</t>
  </si>
  <si>
    <t>Berkomunikasi dan memberikan idea dan cadangan</t>
  </si>
  <si>
    <t>Kebolehpercayaan jika diberi tugasan</t>
  </si>
  <si>
    <t>Inisiatif</t>
  </si>
  <si>
    <t>Kebolehan bekerja dibawah pengawasan yang minimum</t>
  </si>
  <si>
    <t>Kebolehan menentukan keutamaan kerja apabila semuanya penting</t>
  </si>
  <si>
    <t>Memaklumkan progress kerja kepada penyelia</t>
  </si>
  <si>
    <t>Mencari cara terbaik untuk menyelesaikan tugasan.</t>
  </si>
  <si>
    <t>Bersedia untuk menerima kerja tambahan</t>
  </si>
  <si>
    <t>Menunjukkan semangat belajar yang berterusan</t>
  </si>
  <si>
    <t>Mempraktikkan pengetahuan dan kemahiran yang baharu dalam bidang tugas</t>
  </si>
  <si>
    <t>Mencari peluang untuk mengembangkan pengetahuan dan kemahiran</t>
  </si>
  <si>
    <t>Berterusan menunjukkan kemajuan diri</t>
  </si>
  <si>
    <t>Pengetahuan tentang perkara baharu atau perubahan dalam bidang tugas</t>
  </si>
  <si>
    <t>Tarikh:</t>
  </si>
  <si>
    <t>MAKLUMAT PEKERJA</t>
  </si>
  <si>
    <t>PEMARKAHAN</t>
  </si>
  <si>
    <t>Tandatangan:</t>
  </si>
  <si>
    <t>Komen:</t>
  </si>
  <si>
    <t>Sila isikan nombor skala dari 1 hingga 5 mengikut ruang kotak yang disediakan.</t>
  </si>
  <si>
    <t>Menyelesaikan Masalah</t>
  </si>
  <si>
    <t>FAKTOR PENILAIAN</t>
  </si>
  <si>
    <t>SKALA</t>
  </si>
  <si>
    <t>Pembelajaran Berterusan &amp; Perkembangan Kemahiran</t>
  </si>
  <si>
    <t>KEHADIRAN</t>
  </si>
  <si>
    <t>Breakfast Meeting</t>
  </si>
  <si>
    <t>Cuti Kecemasan (EL)</t>
  </si>
  <si>
    <t>Cuti Sakit (MC)</t>
  </si>
  <si>
    <t>PENGLIBATAN AKTIVITI BIRO</t>
  </si>
  <si>
    <t>Biro Agama</t>
  </si>
  <si>
    <t>Biro Sukan</t>
  </si>
  <si>
    <t>NILAI TAMBAHAN</t>
  </si>
  <si>
    <t>Dilantik sebagai ahli jawatankuasa</t>
  </si>
  <si>
    <t>MAKLUMBALAS</t>
  </si>
  <si>
    <t>Keperluan Latihan (Jika ada)</t>
  </si>
  <si>
    <t>PENGETAHUAN DAN KEMAHIRAN</t>
  </si>
  <si>
    <t>KUALITI KERJA</t>
  </si>
  <si>
    <t>PASUKAN</t>
  </si>
  <si>
    <t>INISIATIF</t>
  </si>
  <si>
    <t>PEMBELAJARAN BERTERUSAN &amp; PEMBANGUNAN KEMAHIRAN</t>
  </si>
  <si>
    <t>/80%</t>
  </si>
  <si>
    <t>/25</t>
  </si>
  <si>
    <t>/10%</t>
  </si>
  <si>
    <t>Kemaskini aktiviti dalam aplikasi EQariah</t>
  </si>
  <si>
    <t>Mempunyai matlamat jelas tentang masa depannya dan berusaha mencapainya</t>
  </si>
  <si>
    <r>
      <rPr>
        <b/>
        <sz val="11"/>
        <color theme="0"/>
        <rFont val="Calibri"/>
        <family val="2"/>
        <scheme val="minor"/>
      </rPr>
      <t xml:space="preserve">SENARAI TUGASAN </t>
    </r>
    <r>
      <rPr>
        <b/>
        <sz val="10"/>
        <color theme="0"/>
        <rFont val="Calibri"/>
        <family val="2"/>
        <scheme val="minor"/>
      </rPr>
      <t xml:space="preserve">
</t>
    </r>
    <r>
      <rPr>
        <b/>
        <i/>
        <sz val="10"/>
        <color theme="0"/>
        <rFont val="Calibri"/>
        <family val="2"/>
        <scheme val="minor"/>
      </rPr>
      <t>(sekiranya ruang ini tidak mencukupi, sila kemukakan lampiran tambahan)</t>
    </r>
  </si>
  <si>
    <t>EQARIAH</t>
  </si>
  <si>
    <t>/5%</t>
  </si>
  <si>
    <t>Sertai kursus/latihan sekurang-kurangnya 8 jam</t>
  </si>
  <si>
    <t>/3.33%</t>
  </si>
  <si>
    <t>Markah Keseluruhan</t>
  </si>
  <si>
    <t xml:space="preserve">Jumlah </t>
  </si>
  <si>
    <t>KEMAHIRAN BERKOMUNIKASI</t>
  </si>
  <si>
    <t>KEMAHIRAN MENYELESAIKAN MASALAH</t>
  </si>
  <si>
    <t>/175</t>
  </si>
  <si>
    <t>/120%</t>
  </si>
  <si>
    <t>Nama</t>
  </si>
  <si>
    <t>Jawatan</t>
  </si>
  <si>
    <t>Nama Penilai</t>
  </si>
  <si>
    <t>Jabatan</t>
  </si>
  <si>
    <t>No. ID</t>
  </si>
  <si>
    <t>PENILAI</t>
  </si>
  <si>
    <t>PEKERJA</t>
  </si>
  <si>
    <t>Pilih</t>
  </si>
  <si>
    <t>MSB-HR-03/2026</t>
  </si>
  <si>
    <r>
      <t xml:space="preserve">BORANG PENILAIAN PRESTASI </t>
    </r>
    <r>
      <rPr>
        <i/>
        <sz val="12"/>
        <color theme="1"/>
        <rFont val="Calibri"/>
        <family val="2"/>
        <scheme val="minor"/>
      </rPr>
      <t>(non-leader)</t>
    </r>
  </si>
  <si>
    <t>PANDUAN PENILAIAN PRESTASI PEKERJA</t>
  </si>
  <si>
    <t>Objektif</t>
  </si>
  <si>
    <t>1) Meningkatkan keberkesanan dan produktiviti organisasi.</t>
  </si>
  <si>
    <t>2) Memberi peluang kepada pekerja untuk membincangkan tentang prestasi dan piawaian prestasi dengan penyelia.</t>
  </si>
  <si>
    <t>3) Mengenalpasti kekuatan &amp; kelemahan pekerja.</t>
  </si>
  <si>
    <t>4) Membolehkan penyelia mencadangkan program khusus untuk membantu meningkatkan prestasi pekerja.</t>
  </si>
  <si>
    <t>5) Sebagai format untuk kenaikan gaji, kenaikan pangkat, tamat tempoh percubaan, bonus dan lain-lain.</t>
  </si>
  <si>
    <t>Panduan untuk Penilai</t>
  </si>
  <si>
    <r>
      <t xml:space="preserve">1) Menetapkan </t>
    </r>
    <r>
      <rPr>
        <i/>
        <sz val="11"/>
        <color theme="1"/>
        <rFont val="Calibri"/>
        <family val="2"/>
        <scheme val="minor"/>
      </rPr>
      <t>standard</t>
    </r>
    <r>
      <rPr>
        <sz val="11"/>
        <color theme="1"/>
        <rFont val="Calibri"/>
        <family val="2"/>
        <scheme val="minor"/>
      </rPr>
      <t xml:space="preserve"> kerja yang memenuhi ciri-ciri berikut : </t>
    </r>
  </si>
  <si>
    <t>2) Spesifik, Boleh Diukur, Boleh Dicapai, Realistik dan Mempunyai Tempoh Masa.</t>
  </si>
  <si>
    <r>
      <t>3) Memaklumkan dengan jelas harapan/jangkaan (</t>
    </r>
    <r>
      <rPr>
        <i/>
        <sz val="11"/>
        <color theme="1"/>
        <rFont val="Calibri"/>
        <family val="2"/>
        <scheme val="minor"/>
      </rPr>
      <t>expectation</t>
    </r>
    <r>
      <rPr>
        <sz val="11"/>
        <color theme="1"/>
        <rFont val="Calibri"/>
        <family val="2"/>
        <scheme val="minor"/>
      </rPr>
      <t>) tahap prestasi yang perlu dicapai oleh pekerja.</t>
    </r>
  </si>
  <si>
    <r>
      <t xml:space="preserve">4) Memberi peluang dan bersedia mendengar pandangan yang diberikan oleh pekerja. </t>
    </r>
    <r>
      <rPr>
        <i/>
        <sz val="11"/>
        <color theme="1"/>
        <rFont val="Calibri"/>
        <family val="2"/>
        <scheme val="minor"/>
      </rPr>
      <t>(two way communication)</t>
    </r>
  </si>
  <si>
    <t>5) Penilaian prestasi hendaklah adil dan telus.</t>
  </si>
  <si>
    <t>Skala Penilaian</t>
  </si>
  <si>
    <t>5 - Cemerlang</t>
  </si>
  <si>
    <t>Hasil kerja sentiasa mencapai dan melebihi tahap maksimum yang telah ditentukan</t>
  </si>
  <si>
    <t>4 - Baik</t>
  </si>
  <si>
    <t>Hasil kerja kadangkala mencapai tahap maksimum yang telah ditentukan</t>
  </si>
  <si>
    <t>3 - Sederhana</t>
  </si>
  <si>
    <t>Hasil kerja sentiasa melebihi tahap minimum yang telah ditentukan</t>
  </si>
  <si>
    <t>2 - Lemah</t>
  </si>
  <si>
    <t>Hasil kerja kadangkala mencapai tahap minimum yang telah ditentukan</t>
  </si>
  <si>
    <t>1 - Gagal</t>
  </si>
  <si>
    <t>Hasil kerja sentiasa di bawah tahap minimum yang telah ditentukan</t>
  </si>
  <si>
    <t>Bahagian yang dinilai:</t>
  </si>
  <si>
    <t>Bahagian 1: Faktor Penilaian (80%)</t>
  </si>
  <si>
    <t>1) Pengetahuan dan Kemahiran</t>
  </si>
  <si>
    <t>2) Kualiti Kerja</t>
  </si>
  <si>
    <t>3) Menyelesai Masalah</t>
  </si>
  <si>
    <t>4) Komunikasi</t>
  </si>
  <si>
    <t>5) Pasukan</t>
  </si>
  <si>
    <t>6) Inisiatif</t>
  </si>
  <si>
    <t>7) Pembelajaran Berterusan &amp; Perkembangan Kemahiran</t>
  </si>
  <si>
    <r>
      <rPr>
        <b/>
        <u/>
        <sz val="12"/>
        <color theme="4" tint="-0.249977111117893"/>
        <rFont val="Calibri"/>
        <family val="2"/>
        <scheme val="minor"/>
      </rPr>
      <t>Bahagian 2: Kehadiran (10%)</t>
    </r>
    <r>
      <rPr>
        <b/>
        <sz val="12"/>
        <color theme="4" tint="-0.249977111117893"/>
        <rFont val="Calibri"/>
        <family val="2"/>
        <scheme val="minor"/>
      </rPr>
      <t xml:space="preserve"> </t>
    </r>
  </si>
  <si>
    <t>2.1) Kehadiran Breakfast Meeting</t>
  </si>
  <si>
    <t>2.2) Rekod Cuti Kecemasan (EL)</t>
  </si>
  <si>
    <t>2.3) Rekod Cuti Sakit (MC)</t>
  </si>
  <si>
    <t>Bahagian 3: Penglibatan dalam aktiviti Biro (10%)</t>
  </si>
  <si>
    <t>BIRO AGAMA = 5%</t>
  </si>
  <si>
    <r>
      <t>Untuk kehadiran penuh pekerja mesti menyertai sekurang-kurangnya</t>
    </r>
    <r>
      <rPr>
        <b/>
        <sz val="11"/>
        <color theme="1"/>
        <rFont val="Calibri"/>
        <family val="2"/>
        <scheme val="minor"/>
      </rPr>
      <t xml:space="preserve"> 2 aktiviti </t>
    </r>
    <r>
      <rPr>
        <sz val="11"/>
        <color theme="1"/>
        <rFont val="Calibri"/>
        <family val="2"/>
        <scheme val="minor"/>
      </rPr>
      <t>dalam sebulan.</t>
    </r>
  </si>
  <si>
    <t>Antara aktiviti yang dinilai:</t>
  </si>
  <si>
    <t>1) Kelas Mengaji Online</t>
  </si>
  <si>
    <t>2) Kuliah Mingguan</t>
  </si>
  <si>
    <t>3) Bacaan Yasin</t>
  </si>
  <si>
    <t>4) Menghadiri aktiviti agama persendirian (Maklumkan kehadiran kepada AJK Biro Agama)</t>
  </si>
  <si>
    <t>BIRO SUKAN = 5%</t>
  </si>
  <si>
    <t xml:space="preserve">1) Aktiviti Berkumpulan </t>
  </si>
  <si>
    <t>2) Aktiviti Lelaki</t>
  </si>
  <si>
    <t>3) Aktiviti Perempuan</t>
  </si>
  <si>
    <t>4) Menggunakan fasiliti gym di MSB (Maklumkan kehadiran kepada AJK Biro Sukan)</t>
  </si>
  <si>
    <t xml:space="preserve">Bahagian 4: Nilai Tambah (10%) </t>
  </si>
  <si>
    <t>Antara perkara yang dinilai:</t>
  </si>
  <si>
    <t>4.1) Menyertai program latihan sekurang-kurangnya 8 jam dalam sebulan = 5%</t>
  </si>
  <si>
    <t>4.2) Dilantik sebagai ahli jawatakuasa (ISO, Biro Agama, Biro Sukan) = 5%</t>
  </si>
  <si>
    <t xml:space="preserve">Bahagian 5: E-Qariah (10%) </t>
  </si>
  <si>
    <t>Mengemaskini aplikasi E-Qariah sebelum atau pada setiap 15hb.</t>
  </si>
  <si>
    <t>Bulan Penilaian</t>
  </si>
  <si>
    <t>C0036</t>
  </si>
  <si>
    <t>MUHAMMAD AMIRUL HAZIQ BIN 
KASAMANI</t>
  </si>
  <si>
    <t>APPLICATION DEVELOPER</t>
  </si>
  <si>
    <t>COMMAND CENTRE</t>
  </si>
  <si>
    <t>MARCH 2026</t>
  </si>
  <si>
    <t xml:space="preserve">Mohamad Azmadi bin Angit @ Asra 
Ramlan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</si>
</sst>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%;\-0%;&quot;&quot;"/>
    <numFmt numFmtId="165" formatCode="0;\-0;&quot;&quot;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.5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2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2" tint="-9.9978637043366805E-2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101">
    <xf numFmtId="0" fontId="0" fillId="0" borderId="0" xfId="0"/>
    <xf numFmtId="0" fontId="1" fillId="0" borderId="0" xfId="0" applyFont="1"/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left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3" fillId="0" borderId="0" xfId="0" applyFont="1" applyAlignment="1" applyProtection="1">
      <alignment vertical="center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8" fillId="2" borderId="0" xfId="0" applyFont="1" applyFill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1" fontId="3" fillId="0" borderId="1" xfId="0" applyNumberFormat="1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Protection="1">
      <protection locked="0"/>
    </xf>
    <xf numFmtId="0" fontId="1" fillId="0" borderId="5" xfId="0" applyFont="1" applyBorder="1" applyProtection="1"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right"/>
      <protection locked="0"/>
    </xf>
    <xf numFmtId="0" fontId="9" fillId="0" borderId="0" xfId="0" applyFont="1" applyProtection="1">
      <protection locked="0"/>
    </xf>
    <xf numFmtId="0" fontId="9" fillId="0" borderId="0" xfId="0" applyFont="1" applyAlignment="1" applyProtection="1">
      <alignment horizontal="center" vertical="center"/>
      <protection locked="0"/>
    </xf>
    <xf numFmtId="9" fontId="9" fillId="0" borderId="0" xfId="0" applyNumberFormat="1" applyFont="1" applyProtection="1">
      <protection locked="0"/>
    </xf>
    <xf numFmtId="10" fontId="6" fillId="0" borderId="0" xfId="0" applyNumberFormat="1" applyFont="1" applyAlignment="1" applyProtection="1">
      <alignment horizontal="left"/>
      <protection locked="0"/>
    </xf>
    <xf numFmtId="9" fontId="6" fillId="0" borderId="0" xfId="0" applyNumberFormat="1" applyFont="1" applyAlignment="1" applyProtection="1">
      <alignment horizontal="left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0" fillId="0" borderId="0" xfId="0" applyAlignment="1" applyProtection="1">
      <alignment horizontal="left" vertical="top"/>
      <protection locked="0"/>
    </xf>
    <xf numFmtId="10" fontId="3" fillId="0" borderId="1" xfId="1" applyNumberFormat="1" applyFont="1" applyFill="1" applyBorder="1" applyAlignment="1" applyProtection="1">
      <alignment horizontal="center" vertical="center"/>
      <protection hidden="1"/>
    </xf>
    <xf numFmtId="165" fontId="1" fillId="0" borderId="3" xfId="0" applyNumberFormat="1" applyFont="1" applyBorder="1" applyAlignment="1">
      <alignment horizontal="center" vertical="center"/>
    </xf>
    <xf numFmtId="165" fontId="1" fillId="3" borderId="1" xfId="0" applyNumberFormat="1" applyFont="1" applyFill="1" applyBorder="1" applyAlignment="1" applyProtection="1">
      <alignment horizontal="center" vertical="center"/>
      <protection hidden="1"/>
    </xf>
    <xf numFmtId="165" fontId="0" fillId="0" borderId="1" xfId="0" applyNumberFormat="1" applyBorder="1" applyAlignment="1" applyProtection="1">
      <alignment horizontal="center" vertical="center"/>
      <protection hidden="1"/>
    </xf>
    <xf numFmtId="165" fontId="3" fillId="0" borderId="1" xfId="0" applyNumberFormat="1" applyFont="1" applyBorder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horizontal="left" vertical="center"/>
      <protection locked="0"/>
    </xf>
    <xf numFmtId="164" fontId="12" fillId="3" borderId="1" xfId="1" applyNumberFormat="1" applyFont="1" applyFill="1" applyBorder="1" applyAlignment="1" applyProtection="1">
      <alignment horizontal="center" vertical="center"/>
      <protection hidden="1"/>
    </xf>
    <xf numFmtId="10" fontId="1" fillId="0" borderId="3" xfId="1" applyNumberFormat="1" applyFont="1" applyBorder="1" applyAlignment="1" applyProtection="1">
      <alignment horizontal="center" vertical="center"/>
      <protection hidden="1"/>
    </xf>
    <xf numFmtId="10" fontId="1" fillId="0" borderId="3" xfId="1" applyNumberFormat="1" applyFont="1" applyBorder="1" applyAlignment="1" applyProtection="1">
      <alignment horizontal="center"/>
      <protection hidden="1"/>
    </xf>
    <xf numFmtId="0" fontId="16" fillId="0" borderId="10" xfId="0" applyFont="1" applyBorder="1" applyAlignment="1" applyProtection="1">
      <alignment horizontal="left" vertical="center"/>
      <protection locked="0"/>
    </xf>
    <xf numFmtId="10" fontId="1" fillId="0" borderId="4" xfId="1" applyNumberFormat="1" applyFont="1" applyBorder="1" applyAlignment="1" applyProtection="1">
      <alignment horizontal="center"/>
      <protection hidden="1"/>
    </xf>
    <xf numFmtId="0" fontId="16" fillId="0" borderId="0" xfId="0" applyFont="1" applyAlignment="1" applyProtection="1">
      <alignment horizontal="right"/>
      <protection locked="0"/>
    </xf>
    <xf numFmtId="0" fontId="16" fillId="0" borderId="0" xfId="0" applyFont="1" applyAlignment="1" applyProtection="1">
      <alignment horizontal="center"/>
      <protection locked="0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7" xfId="0" applyBorder="1" applyAlignment="1">
      <alignment wrapText="1"/>
    </xf>
    <xf numFmtId="0" fontId="3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3" fillId="0" borderId="0" xfId="0" applyFont="1"/>
    <xf numFmtId="0" fontId="20" fillId="0" borderId="0" xfId="0" applyFont="1"/>
    <xf numFmtId="0" fontId="0" fillId="0" borderId="0" xfId="0" applyAlignment="1">
      <alignment horizontal="center" vertical="center"/>
    </xf>
    <xf numFmtId="0" fontId="22" fillId="0" borderId="0" xfId="0" applyFont="1"/>
    <xf numFmtId="0" fontId="0" fillId="0" borderId="0" xfId="0" applyAlignment="1">
      <alignment vertical="center"/>
    </xf>
    <xf numFmtId="0" fontId="23" fillId="0" borderId="0" xfId="0" applyFont="1"/>
    <xf numFmtId="0" fontId="0" fillId="0" borderId="0" xfId="0" applyAlignment="1">
      <alignment horizontal="left" vertical="center"/>
    </xf>
    <xf numFmtId="0" fontId="24" fillId="0" borderId="0" xfId="0" applyFont="1"/>
    <xf numFmtId="0" fontId="25" fillId="0" borderId="0" xfId="0" applyFont="1"/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7" xfId="0" applyFont="1" applyBorder="1" applyAlignment="1" applyProtection="1">
      <alignment horizontal="left"/>
      <protection locked="0"/>
    </xf>
    <xf numFmtId="0" fontId="1" fillId="0" borderId="9" xfId="0" applyFont="1" applyBorder="1" applyAlignment="1" applyProtection="1">
      <alignment horizontal="left"/>
      <protection locked="0"/>
    </xf>
    <xf numFmtId="49" fontId="1" fillId="0" borderId="7" xfId="0" applyNumberFormat="1" applyFont="1" applyBorder="1" applyAlignment="1" applyProtection="1">
      <alignment horizontal="left"/>
      <protection locked="0"/>
    </xf>
    <xf numFmtId="49" fontId="1" fillId="0" borderId="8" xfId="0" applyNumberFormat="1" applyFont="1" applyBorder="1" applyAlignment="1" applyProtection="1">
      <alignment horizontal="left"/>
      <protection locked="0"/>
    </xf>
    <xf numFmtId="49" fontId="1" fillId="0" borderId="9" xfId="0" applyNumberFormat="1" applyFont="1" applyBorder="1" applyAlignment="1" applyProtection="1">
      <alignment horizontal="left"/>
      <protection locked="0"/>
    </xf>
    <xf numFmtId="0" fontId="5" fillId="2" borderId="1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left"/>
      <protection locked="0"/>
    </xf>
    <xf numFmtId="0" fontId="1" fillId="0" borderId="0" xfId="0" applyFont="1" applyAlignment="1">
      <alignment horizontal="right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0" fillId="0" borderId="2" xfId="0" applyBorder="1" applyAlignment="1" applyProtection="1">
      <alignment horizontal="center"/>
      <protection locked="0"/>
    </xf>
    <xf numFmtId="0" fontId="1" fillId="0" borderId="8" xfId="0" applyFont="1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left" vertical="top" wrapText="1"/>
      <protection locked="0"/>
    </xf>
    <xf numFmtId="49" fontId="1" fillId="0" borderId="1" xfId="0" applyNumberFormat="1" applyFont="1" applyBorder="1" applyAlignment="1" applyProtection="1">
      <alignment horizontal="left"/>
      <protection locked="0"/>
    </xf>
    <xf numFmtId="0" fontId="7" fillId="2" borderId="6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right" vertical="center"/>
    </xf>
    <xf numFmtId="0" fontId="6" fillId="0" borderId="0" xfId="0" applyFont="1" applyAlignment="1" applyProtection="1">
      <alignment horizontal="center"/>
      <protection locked="0"/>
    </xf>
    <xf numFmtId="0" fontId="1" fillId="0" borderId="7" xfId="0" applyFont="1" applyBorder="1" applyAlignment="1" applyProtection="1">
      <alignment horizontal="left" wrapText="1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35</xdr:row>
      <xdr:rowOff>190500</xdr:rowOff>
    </xdr:from>
    <xdr:ext cx="2133333" cy="628570"/>
    <xdr:pic>
      <xdr:nvPicPr>
        <xdr:cNvPr id="2" name="Picture 1">
          <a:extLst>
            <a:ext uri="{FF2B5EF4-FFF2-40B4-BE49-F238E27FC236}">
              <a16:creationId xmlns:a16="http://schemas.microsoft.com/office/drawing/2014/main" id="{DAA1B4C4-F856-4FC4-91C0-33C8DA03A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7229475"/>
          <a:ext cx="2133333" cy="628570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72</xdr:row>
      <xdr:rowOff>19050</xdr:rowOff>
    </xdr:from>
    <xdr:ext cx="2180952" cy="619048"/>
    <xdr:pic>
      <xdr:nvPicPr>
        <xdr:cNvPr id="3" name="Picture 2">
          <a:extLst>
            <a:ext uri="{FF2B5EF4-FFF2-40B4-BE49-F238E27FC236}">
              <a16:creationId xmlns:a16="http://schemas.microsoft.com/office/drawing/2014/main" id="{0317F26C-7D26-4096-B976-296918BC9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4458950"/>
          <a:ext cx="2180952" cy="619048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77</xdr:row>
      <xdr:rowOff>38100</xdr:rowOff>
    </xdr:from>
    <xdr:ext cx="3504762" cy="609524"/>
    <xdr:pic>
      <xdr:nvPicPr>
        <xdr:cNvPr id="4" name="Picture 3">
          <a:extLst>
            <a:ext uri="{FF2B5EF4-FFF2-40B4-BE49-F238E27FC236}">
              <a16:creationId xmlns:a16="http://schemas.microsoft.com/office/drawing/2014/main" id="{90BB7335-FC87-4CF9-84DE-8E9106EB3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15478125"/>
          <a:ext cx="3504762" cy="609524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41</xdr:row>
      <xdr:rowOff>0</xdr:rowOff>
    </xdr:from>
    <xdr:ext cx="4742857" cy="619048"/>
    <xdr:pic>
      <xdr:nvPicPr>
        <xdr:cNvPr id="5" name="Picture 4">
          <a:extLst>
            <a:ext uri="{FF2B5EF4-FFF2-40B4-BE49-F238E27FC236}">
              <a16:creationId xmlns:a16="http://schemas.microsoft.com/office/drawing/2014/main" id="{59CDCA03-29A4-47C4-8DB8-27AC3C9CC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8239125"/>
          <a:ext cx="4742857" cy="619048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46</xdr:row>
      <xdr:rowOff>0</xdr:rowOff>
    </xdr:from>
    <xdr:ext cx="4742857" cy="628571"/>
    <xdr:pic>
      <xdr:nvPicPr>
        <xdr:cNvPr id="6" name="Picture 5">
          <a:extLst>
            <a:ext uri="{FF2B5EF4-FFF2-40B4-BE49-F238E27FC236}">
              <a16:creationId xmlns:a16="http://schemas.microsoft.com/office/drawing/2014/main" id="{E9FDCE17-FB6D-47DB-9828-3382FAEBB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9239250"/>
          <a:ext cx="4742857" cy="62857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54768</xdr:colOff>
      <xdr:row>0</xdr:row>
      <xdr:rowOff>47625</xdr:rowOff>
    </xdr:from>
    <xdr:to>
      <xdr:col>1</xdr:col>
      <xdr:colOff>171569</xdr:colOff>
      <xdr:row>1</xdr:row>
      <xdr:rowOff>333376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AE3EFA-5B1F-406C-B425-8D93DE63D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68" y="47625"/>
          <a:ext cx="602576" cy="4762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82BFA-748E-42B6-8FE8-253E3F3A55CA}">
  <dimension ref="A1:E87"/>
  <sheetViews>
    <sheetView view="pageBreakPreview" topLeftCell="A51" zoomScale="205" zoomScaleNormal="100" zoomScaleSheetLayoutView="205" workbookViewId="0">
      <selection activeCell="H23" sqref="H23"/>
    </sheetView>
  </sheetViews>
  <sheetFormatPr defaultRowHeight="15.75" x14ac:dyDescent="0.25"/>
  <cols>
    <col min="1" max="1" width="15.7109375" style="56" customWidth="1"/>
    <col min="2" max="2" width="20.7109375" style="54" customWidth="1"/>
    <col min="3" max="3" width="30.7109375" style="54" customWidth="1"/>
    <col min="4" max="4" width="15.7109375" style="54" customWidth="1"/>
    <col min="5" max="5" width="15.7109375" style="56" customWidth="1"/>
    <col min="6" max="16384" width="9.140625" style="54"/>
  </cols>
  <sheetData>
    <row r="1" spans="1:4" ht="18.75" x14ac:dyDescent="0.3">
      <c r="A1" s="53" t="s">
        <v>91</v>
      </c>
      <c r="D1" s="55"/>
    </row>
    <row r="2" spans="1:4" x14ac:dyDescent="0.25">
      <c r="A2" s="54"/>
    </row>
    <row r="3" spans="1:4" x14ac:dyDescent="0.25">
      <c r="A3" s="1" t="s">
        <v>92</v>
      </c>
    </row>
    <row r="4" spans="1:4" x14ac:dyDescent="0.25">
      <c r="A4" s="57" t="s">
        <v>93</v>
      </c>
    </row>
    <row r="5" spans="1:4" x14ac:dyDescent="0.25">
      <c r="A5" s="57" t="s">
        <v>94</v>
      </c>
    </row>
    <row r="6" spans="1:4" x14ac:dyDescent="0.25">
      <c r="A6" s="57" t="s">
        <v>95</v>
      </c>
    </row>
    <row r="7" spans="1:4" x14ac:dyDescent="0.25">
      <c r="A7" s="57" t="s">
        <v>96</v>
      </c>
    </row>
    <row r="8" spans="1:4" x14ac:dyDescent="0.25">
      <c r="A8" s="57" t="s">
        <v>97</v>
      </c>
    </row>
    <row r="9" spans="1:4" x14ac:dyDescent="0.25">
      <c r="A9" s="58"/>
    </row>
    <row r="10" spans="1:4" x14ac:dyDescent="0.25">
      <c r="A10" s="1" t="s">
        <v>98</v>
      </c>
    </row>
    <row r="11" spans="1:4" x14ac:dyDescent="0.25">
      <c r="A11" t="s">
        <v>99</v>
      </c>
    </row>
    <row r="12" spans="1:4" x14ac:dyDescent="0.25">
      <c r="A12" s="57" t="s">
        <v>100</v>
      </c>
    </row>
    <row r="13" spans="1:4" x14ac:dyDescent="0.25">
      <c r="A13" t="s">
        <v>101</v>
      </c>
    </row>
    <row r="14" spans="1:4" x14ac:dyDescent="0.25">
      <c r="A14" t="s">
        <v>102</v>
      </c>
    </row>
    <row r="15" spans="1:4" x14ac:dyDescent="0.25">
      <c r="A15" t="s">
        <v>103</v>
      </c>
    </row>
    <row r="16" spans="1:4" x14ac:dyDescent="0.25">
      <c r="A16"/>
    </row>
    <row r="17" spans="1:2" x14ac:dyDescent="0.25">
      <c r="A17" s="1" t="s">
        <v>104</v>
      </c>
    </row>
    <row r="18" spans="1:2" x14ac:dyDescent="0.25">
      <c r="A18" s="44" t="s">
        <v>105</v>
      </c>
      <c r="B18" s="54" t="s">
        <v>106</v>
      </c>
    </row>
    <row r="19" spans="1:2" x14ac:dyDescent="0.25">
      <c r="A19" s="44" t="s">
        <v>107</v>
      </c>
      <c r="B19" s="54" t="s">
        <v>108</v>
      </c>
    </row>
    <row r="20" spans="1:2" x14ac:dyDescent="0.25">
      <c r="A20" s="44" t="s">
        <v>109</v>
      </c>
      <c r="B20" s="54" t="s">
        <v>110</v>
      </c>
    </row>
    <row r="21" spans="1:2" x14ac:dyDescent="0.25">
      <c r="A21" s="44" t="s">
        <v>111</v>
      </c>
      <c r="B21" s="54" t="s">
        <v>112</v>
      </c>
    </row>
    <row r="22" spans="1:2" x14ac:dyDescent="0.25">
      <c r="A22" s="44" t="s">
        <v>113</v>
      </c>
      <c r="B22" s="54" t="s">
        <v>114</v>
      </c>
    </row>
    <row r="23" spans="1:2" x14ac:dyDescent="0.25">
      <c r="A23"/>
    </row>
    <row r="24" spans="1:2" x14ac:dyDescent="0.25">
      <c r="A24" t="s">
        <v>115</v>
      </c>
    </row>
    <row r="25" spans="1:2" x14ac:dyDescent="0.25">
      <c r="A25" s="59"/>
    </row>
    <row r="26" spans="1:2" x14ac:dyDescent="0.25">
      <c r="A26" s="60" t="s">
        <v>116</v>
      </c>
    </row>
    <row r="27" spans="1:2" x14ac:dyDescent="0.25">
      <c r="A27" s="61" t="s">
        <v>117</v>
      </c>
    </row>
    <row r="28" spans="1:2" x14ac:dyDescent="0.25">
      <c r="A28" s="61" t="s">
        <v>118</v>
      </c>
    </row>
    <row r="29" spans="1:2" x14ac:dyDescent="0.25">
      <c r="A29" s="61" t="s">
        <v>119</v>
      </c>
    </row>
    <row r="30" spans="1:2" x14ac:dyDescent="0.25">
      <c r="A30" s="61" t="s">
        <v>120</v>
      </c>
    </row>
    <row r="31" spans="1:2" x14ac:dyDescent="0.25">
      <c r="A31" s="61" t="s">
        <v>121</v>
      </c>
    </row>
    <row r="32" spans="1:2" x14ac:dyDescent="0.25">
      <c r="A32" s="61" t="s">
        <v>122</v>
      </c>
    </row>
    <row r="33" spans="1:1" x14ac:dyDescent="0.25">
      <c r="A33" s="61" t="s">
        <v>123</v>
      </c>
    </row>
    <row r="34" spans="1:1" x14ac:dyDescent="0.25">
      <c r="A34" s="59"/>
    </row>
    <row r="35" spans="1:1" x14ac:dyDescent="0.25">
      <c r="A35" s="62" t="s">
        <v>124</v>
      </c>
    </row>
    <row r="36" spans="1:1" x14ac:dyDescent="0.25">
      <c r="A36" s="63" t="s">
        <v>125</v>
      </c>
    </row>
    <row r="37" spans="1:1" x14ac:dyDescent="0.25">
      <c r="A37" s="59"/>
    </row>
    <row r="38" spans="1:1" x14ac:dyDescent="0.25">
      <c r="A38" s="59"/>
    </row>
    <row r="39" spans="1:1" x14ac:dyDescent="0.25">
      <c r="A39" s="59"/>
    </row>
    <row r="40" spans="1:1" x14ac:dyDescent="0.25">
      <c r="A40" s="59"/>
    </row>
    <row r="41" spans="1:1" x14ac:dyDescent="0.25">
      <c r="A41" s="63" t="s">
        <v>126</v>
      </c>
    </row>
    <row r="42" spans="1:1" x14ac:dyDescent="0.25">
      <c r="A42" s="59"/>
    </row>
    <row r="43" spans="1:1" x14ac:dyDescent="0.25">
      <c r="A43" s="59"/>
    </row>
    <row r="44" spans="1:1" x14ac:dyDescent="0.25">
      <c r="A44" s="59"/>
    </row>
    <row r="45" spans="1:1" x14ac:dyDescent="0.25">
      <c r="A45" s="59"/>
    </row>
    <row r="46" spans="1:1" x14ac:dyDescent="0.25">
      <c r="A46" s="63" t="s">
        <v>127</v>
      </c>
    </row>
    <row r="47" spans="1:1" x14ac:dyDescent="0.25">
      <c r="A47" s="59"/>
    </row>
    <row r="48" spans="1:1" x14ac:dyDescent="0.25">
      <c r="A48" s="59"/>
    </row>
    <row r="49" spans="1:1" x14ac:dyDescent="0.25">
      <c r="A49" s="59"/>
    </row>
    <row r="50" spans="1:1" x14ac:dyDescent="0.25">
      <c r="A50" s="59"/>
    </row>
    <row r="51" spans="1:1" x14ac:dyDescent="0.25">
      <c r="A51" s="60" t="s">
        <v>128</v>
      </c>
    </row>
    <row r="52" spans="1:1" x14ac:dyDescent="0.25">
      <c r="A52" s="64"/>
    </row>
    <row r="53" spans="1:1" x14ac:dyDescent="0.25">
      <c r="A53" s="65" t="s">
        <v>129</v>
      </c>
    </row>
    <row r="54" spans="1:1" x14ac:dyDescent="0.25">
      <c r="A54" t="s">
        <v>130</v>
      </c>
    </row>
    <row r="55" spans="1:1" x14ac:dyDescent="0.25">
      <c r="A55" t="s">
        <v>131</v>
      </c>
    </row>
    <row r="56" spans="1:1" x14ac:dyDescent="0.25">
      <c r="A56" t="s">
        <v>132</v>
      </c>
    </row>
    <row r="57" spans="1:1" x14ac:dyDescent="0.25">
      <c r="A57" t="s">
        <v>133</v>
      </c>
    </row>
    <row r="58" spans="1:1" x14ac:dyDescent="0.25">
      <c r="A58" t="s">
        <v>134</v>
      </c>
    </row>
    <row r="59" spans="1:1" x14ac:dyDescent="0.25">
      <c r="A59" s="57" t="s">
        <v>135</v>
      </c>
    </row>
    <row r="60" spans="1:1" x14ac:dyDescent="0.25">
      <c r="A60" s="57"/>
    </row>
    <row r="61" spans="1:1" x14ac:dyDescent="0.25">
      <c r="A61" s="65" t="s">
        <v>136</v>
      </c>
    </row>
    <row r="62" spans="1:1" x14ac:dyDescent="0.25">
      <c r="A62" t="s">
        <v>130</v>
      </c>
    </row>
    <row r="63" spans="1:1" x14ac:dyDescent="0.25">
      <c r="A63" t="s">
        <v>131</v>
      </c>
    </row>
    <row r="64" spans="1:1" x14ac:dyDescent="0.25">
      <c r="A64" t="s">
        <v>137</v>
      </c>
    </row>
    <row r="65" spans="1:1" x14ac:dyDescent="0.25">
      <c r="A65" t="s">
        <v>138</v>
      </c>
    </row>
    <row r="66" spans="1:1" x14ac:dyDescent="0.25">
      <c r="A66" t="s">
        <v>139</v>
      </c>
    </row>
    <row r="67" spans="1:1" x14ac:dyDescent="0.25">
      <c r="A67" s="57" t="s">
        <v>140</v>
      </c>
    </row>
    <row r="68" spans="1:1" x14ac:dyDescent="0.25">
      <c r="A68" s="57"/>
    </row>
    <row r="69" spans="1:1" x14ac:dyDescent="0.25">
      <c r="A69" s="60" t="s">
        <v>141</v>
      </c>
    </row>
    <row r="70" spans="1:1" x14ac:dyDescent="0.25">
      <c r="A70" s="54" t="s">
        <v>142</v>
      </c>
    </row>
    <row r="72" spans="1:1" x14ac:dyDescent="0.25">
      <c r="A72" s="54" t="s">
        <v>143</v>
      </c>
    </row>
    <row r="77" spans="1:1" x14ac:dyDescent="0.25">
      <c r="A77" s="54" t="s">
        <v>144</v>
      </c>
    </row>
    <row r="82" spans="1:2" x14ac:dyDescent="0.25">
      <c r="A82" s="60" t="s">
        <v>145</v>
      </c>
    </row>
    <row r="83" spans="1:2" x14ac:dyDescent="0.25">
      <c r="A83" s="66" t="s">
        <v>146</v>
      </c>
      <c r="B83" s="67"/>
    </row>
    <row r="84" spans="1:2" x14ac:dyDescent="0.25">
      <c r="A84" s="66"/>
      <c r="B84" s="67"/>
    </row>
    <row r="85" spans="1:2" x14ac:dyDescent="0.25">
      <c r="A85" s="66"/>
      <c r="B85" s="67"/>
    </row>
    <row r="86" spans="1:2" x14ac:dyDescent="0.25">
      <c r="A86" s="66"/>
      <c r="B86" s="67"/>
    </row>
    <row r="87" spans="1:2" x14ac:dyDescent="0.25">
      <c r="A87" s="68"/>
      <c r="B87" s="67"/>
    </row>
  </sheetData>
  <dataConsolidate/>
  <printOptions horizontalCentered="1"/>
  <pageMargins left="0.39370078740157499" right="0.39370078740157499" top="0.74803149606299202" bottom="0.74803149606299202" header="0.31496062992126" footer="0.31496062992126"/>
  <pageSetup paperSize="9" scale="90" orientation="portrait" horizontalDpi="1200" verticalDpi="1200" r:id="rId1"/>
  <headerFooter differentFirst="1">
    <oddFooter>Page &amp;P of &amp;N</oddFooter>
  </headerFooter>
  <rowBreaks count="1" manualBreakCount="1">
    <brk id="50" max="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2B00B-AC10-4304-80A8-8B4BB0578B05}">
  <dimension ref="A1:R122"/>
  <sheetViews>
    <sheetView showGridLines="0" tabSelected="1" view="pageBreakPreview" zoomScale="235" zoomScaleNormal="100" zoomScaleSheetLayoutView="235" workbookViewId="0">
      <selection activeCell="A9" sqref="A9:I10"/>
    </sheetView>
  </sheetViews>
  <sheetFormatPr defaultRowHeight="14.25" x14ac:dyDescent="0.25"/>
  <cols>
    <col min="1" max="1" width="7.28515625" style="2" customWidth="1"/>
    <col min="2" max="2" width="7.140625" style="3" customWidth="1"/>
    <col min="3" max="4" width="18.140625" style="3" customWidth="1"/>
    <col min="5" max="5" width="11.7109375" style="3" customWidth="1"/>
    <col min="6" max="6" width="11" style="3" customWidth="1"/>
    <col min="7" max="7" width="3.7109375" style="3" customWidth="1"/>
    <col min="8" max="8" width="10.7109375" style="2" customWidth="1"/>
    <col min="9" max="9" width="5.7109375" style="2" customWidth="1"/>
    <col min="10" max="10" width="9.140625" style="3"/>
    <col min="11" max="13" width="6.85546875" style="4" customWidth="1"/>
    <col min="14" max="14" width="13.5703125" style="4" bestFit="1" customWidth="1"/>
    <col min="15" max="18" width="6.85546875" style="4" customWidth="1"/>
    <col min="19" max="16384" width="9.140625" style="3"/>
  </cols>
  <sheetData>
    <row r="1" spans="1:9" ht="15" customHeight="1" x14ac:dyDescent="0.25">
      <c r="G1" s="71" t="s">
        <v>89</v>
      </c>
      <c r="H1" s="71"/>
      <c r="I1" s="71"/>
    </row>
    <row r="2" spans="1:9" ht="29.25" customHeight="1" x14ac:dyDescent="0.25">
      <c r="B2" s="72" t="s">
        <v>90</v>
      </c>
      <c r="C2" s="72"/>
      <c r="D2" s="72"/>
      <c r="E2" s="72"/>
      <c r="F2" s="72"/>
      <c r="G2" s="72"/>
      <c r="H2" s="72"/>
      <c r="I2" s="72"/>
    </row>
    <row r="3" spans="1:9" ht="15" x14ac:dyDescent="0.25">
      <c r="A3" s="80" t="s">
        <v>40</v>
      </c>
      <c r="B3" s="81"/>
      <c r="C3" s="81"/>
      <c r="D3" s="81"/>
      <c r="E3" s="81"/>
      <c r="F3" s="81"/>
      <c r="G3" s="81"/>
      <c r="H3" s="81"/>
      <c r="I3" s="81"/>
    </row>
    <row r="4" spans="1:9" ht="30" customHeight="1" x14ac:dyDescent="0.25">
      <c r="A4" s="73" t="s">
        <v>81</v>
      </c>
      <c r="B4" s="74"/>
      <c r="C4" s="100" t="s">
        <v>149</v>
      </c>
      <c r="D4" s="76"/>
      <c r="E4" s="45" t="s">
        <v>85</v>
      </c>
      <c r="F4" s="77" t="s">
        <v>148</v>
      </c>
      <c r="G4" s="78"/>
      <c r="H4" s="78"/>
      <c r="I4" s="79"/>
    </row>
    <row r="5" spans="1:9" ht="30" customHeight="1" x14ac:dyDescent="0.25">
      <c r="A5" s="73" t="s">
        <v>82</v>
      </c>
      <c r="B5" s="74"/>
      <c r="C5" s="75" t="s">
        <v>150</v>
      </c>
      <c r="D5" s="76"/>
      <c r="E5" s="45" t="s">
        <v>84</v>
      </c>
      <c r="F5" s="75" t="s">
        <v>151</v>
      </c>
      <c r="G5" s="91"/>
      <c r="H5" s="91"/>
      <c r="I5" s="76"/>
    </row>
    <row r="6" spans="1:9" ht="30" customHeight="1" x14ac:dyDescent="0.25">
      <c r="A6" s="73" t="s">
        <v>83</v>
      </c>
      <c r="B6" s="74"/>
      <c r="C6" s="100" t="s">
        <v>153</v>
      </c>
      <c r="D6" s="76"/>
      <c r="E6" s="46" t="s">
        <v>147</v>
      </c>
      <c r="F6" s="94" t="s">
        <v>152</v>
      </c>
      <c r="G6" s="94"/>
      <c r="H6" s="94"/>
      <c r="I6" s="94"/>
    </row>
    <row r="7" spans="1:9" ht="10.5" customHeight="1" x14ac:dyDescent="0.25">
      <c r="A7" s="6"/>
      <c r="B7" s="7"/>
      <c r="C7" s="7"/>
      <c r="D7" s="7"/>
      <c r="E7" s="7"/>
      <c r="F7" s="7"/>
      <c r="G7" s="7"/>
      <c r="H7" s="6"/>
      <c r="I7" s="6"/>
    </row>
    <row r="8" spans="1:9" ht="29.25" customHeight="1" x14ac:dyDescent="0.25">
      <c r="A8" s="95" t="s">
        <v>70</v>
      </c>
      <c r="B8" s="96"/>
      <c r="C8" s="96"/>
      <c r="D8" s="96"/>
      <c r="E8" s="96"/>
      <c r="F8" s="96"/>
      <c r="G8" s="96"/>
      <c r="H8" s="96"/>
      <c r="I8" s="96"/>
    </row>
    <row r="9" spans="1:9" ht="54.75" customHeight="1" x14ac:dyDescent="0.25">
      <c r="A9" s="93"/>
      <c r="B9" s="93"/>
      <c r="C9" s="93"/>
      <c r="D9" s="93"/>
      <c r="E9" s="93"/>
      <c r="F9" s="93"/>
      <c r="G9" s="93"/>
      <c r="H9" s="93"/>
      <c r="I9" s="93"/>
    </row>
    <row r="10" spans="1:9" ht="54.75" customHeight="1" x14ac:dyDescent="0.25">
      <c r="A10" s="93"/>
      <c r="B10" s="93"/>
      <c r="C10" s="93"/>
      <c r="D10" s="93"/>
      <c r="E10" s="93"/>
      <c r="F10" s="93"/>
      <c r="G10" s="93"/>
      <c r="H10" s="93"/>
      <c r="I10" s="93"/>
    </row>
    <row r="11" spans="1:9" ht="10.5" customHeight="1" x14ac:dyDescent="0.25">
      <c r="A11" s="8"/>
      <c r="B11" s="8"/>
      <c r="C11" s="8"/>
      <c r="D11" s="8"/>
      <c r="E11" s="8"/>
      <c r="F11" s="8"/>
      <c r="G11" s="8"/>
      <c r="H11" s="8"/>
      <c r="I11" s="8"/>
    </row>
    <row r="12" spans="1:9" ht="15" x14ac:dyDescent="0.25">
      <c r="A12" s="47" t="s">
        <v>44</v>
      </c>
      <c r="B12" s="8"/>
      <c r="C12" s="8"/>
      <c r="D12" s="8"/>
      <c r="E12" s="8"/>
      <c r="F12" s="8"/>
      <c r="G12" s="8"/>
      <c r="H12" s="8"/>
      <c r="I12" s="8"/>
    </row>
    <row r="13" spans="1:9" ht="15" x14ac:dyDescent="0.25">
      <c r="A13" s="48" t="s">
        <v>46</v>
      </c>
      <c r="B13" s="11"/>
      <c r="C13" s="10"/>
      <c r="D13" s="10"/>
      <c r="E13" s="10"/>
      <c r="F13" s="10"/>
      <c r="G13" s="10"/>
      <c r="H13" s="49" t="s">
        <v>47</v>
      </c>
      <c r="I13" s="5"/>
    </row>
    <row r="14" spans="1:9" ht="6" customHeight="1" x14ac:dyDescent="0.25">
      <c r="A14" s="9"/>
      <c r="B14" s="9"/>
      <c r="C14" s="9"/>
      <c r="D14" s="9"/>
      <c r="E14" s="9"/>
      <c r="F14" s="9"/>
      <c r="G14" s="9"/>
      <c r="H14" s="12"/>
      <c r="I14" s="12"/>
    </row>
    <row r="15" spans="1:9" ht="15" x14ac:dyDescent="0.25">
      <c r="A15" s="70" t="s">
        <v>60</v>
      </c>
      <c r="B15" s="70"/>
      <c r="C15" s="70"/>
      <c r="D15" s="70"/>
      <c r="E15" s="70"/>
      <c r="F15" s="7"/>
      <c r="G15" s="7"/>
      <c r="H15" s="6"/>
      <c r="I15" s="6"/>
    </row>
    <row r="16" spans="1:9" ht="20.25" customHeight="1" x14ac:dyDescent="0.25">
      <c r="A16" s="69" t="s">
        <v>1</v>
      </c>
      <c r="B16" s="69"/>
      <c r="C16" s="69"/>
      <c r="D16" s="69"/>
      <c r="E16" s="69"/>
      <c r="F16" s="13"/>
      <c r="G16" s="13"/>
      <c r="H16" s="14"/>
      <c r="I16" s="6"/>
    </row>
    <row r="17" spans="1:9" ht="20.25" customHeight="1" x14ac:dyDescent="0.25">
      <c r="A17" s="69" t="s">
        <v>2</v>
      </c>
      <c r="B17" s="69"/>
      <c r="C17" s="69"/>
      <c r="D17" s="69"/>
      <c r="E17" s="69"/>
      <c r="F17" s="13"/>
      <c r="G17" s="13"/>
      <c r="H17" s="14"/>
      <c r="I17" s="6"/>
    </row>
    <row r="18" spans="1:9" ht="20.25" customHeight="1" x14ac:dyDescent="0.25">
      <c r="A18" s="69" t="s">
        <v>3</v>
      </c>
      <c r="B18" s="69"/>
      <c r="C18" s="69"/>
      <c r="D18" s="69"/>
      <c r="E18" s="69"/>
      <c r="F18" s="13"/>
      <c r="G18" s="13"/>
      <c r="H18" s="14"/>
      <c r="I18" s="6"/>
    </row>
    <row r="19" spans="1:9" ht="20.25" customHeight="1" x14ac:dyDescent="0.25">
      <c r="A19" s="69" t="s">
        <v>38</v>
      </c>
      <c r="B19" s="69"/>
      <c r="C19" s="69"/>
      <c r="D19" s="69"/>
      <c r="E19" s="69"/>
      <c r="F19" s="13"/>
      <c r="G19" s="13"/>
      <c r="H19" s="14"/>
      <c r="I19" s="6"/>
    </row>
    <row r="20" spans="1:9" ht="20.25" customHeight="1" x14ac:dyDescent="0.25">
      <c r="A20" s="69" t="s">
        <v>4</v>
      </c>
      <c r="B20" s="69"/>
      <c r="C20" s="69"/>
      <c r="D20" s="69"/>
      <c r="E20" s="69"/>
      <c r="F20" s="13"/>
      <c r="G20" s="13"/>
      <c r="H20" s="14"/>
      <c r="I20" s="6"/>
    </row>
    <row r="21" spans="1:9" ht="25.5" customHeight="1" thickBot="1" x14ac:dyDescent="0.3">
      <c r="A21" t="s">
        <v>43</v>
      </c>
      <c r="B21" s="84"/>
      <c r="C21" s="84"/>
      <c r="D21" s="84"/>
      <c r="E21" s="84"/>
      <c r="F21" s="13"/>
      <c r="G21" s="13"/>
      <c r="H21" s="32">
        <f>SUM(H16:H20)</f>
        <v>0</v>
      </c>
      <c r="I21" s="50" t="s">
        <v>66</v>
      </c>
    </row>
    <row r="22" spans="1:9" ht="15.75" thickTop="1" x14ac:dyDescent="0.25">
      <c r="A22" s="6"/>
      <c r="B22" s="13"/>
      <c r="C22" s="13"/>
      <c r="D22" s="13"/>
      <c r="E22" s="13"/>
      <c r="F22" s="13"/>
      <c r="G22" s="13"/>
      <c r="H22" s="6"/>
      <c r="I22" s="16"/>
    </row>
    <row r="23" spans="1:9" ht="15" x14ac:dyDescent="0.25">
      <c r="A23" s="70" t="s">
        <v>61</v>
      </c>
      <c r="B23" s="70"/>
      <c r="C23" s="70"/>
      <c r="D23" s="70"/>
      <c r="E23" s="70"/>
      <c r="F23" s="13"/>
      <c r="G23" s="13"/>
      <c r="H23" s="6"/>
      <c r="I23" s="16"/>
    </row>
    <row r="24" spans="1:9" ht="20.25" customHeight="1" x14ac:dyDescent="0.25">
      <c r="A24" s="69" t="s">
        <v>6</v>
      </c>
      <c r="B24" s="69"/>
      <c r="C24" s="69"/>
      <c r="D24" s="69"/>
      <c r="E24" s="69"/>
      <c r="F24" s="13"/>
      <c r="G24" s="13"/>
      <c r="H24" s="14"/>
      <c r="I24" s="16"/>
    </row>
    <row r="25" spans="1:9" ht="20.25" customHeight="1" x14ac:dyDescent="0.25">
      <c r="A25" s="69" t="s">
        <v>7</v>
      </c>
      <c r="B25" s="69"/>
      <c r="C25" s="69"/>
      <c r="D25" s="69"/>
      <c r="E25" s="69"/>
      <c r="F25" s="13"/>
      <c r="G25" s="13"/>
      <c r="H25" s="14"/>
      <c r="I25" s="16"/>
    </row>
    <row r="26" spans="1:9" ht="20.25" customHeight="1" x14ac:dyDescent="0.25">
      <c r="A26" s="69" t="s">
        <v>8</v>
      </c>
      <c r="B26" s="69"/>
      <c r="C26" s="69"/>
      <c r="D26" s="69"/>
      <c r="E26" s="69"/>
      <c r="F26" s="13"/>
      <c r="G26" s="13"/>
      <c r="H26" s="14"/>
      <c r="I26" s="16"/>
    </row>
    <row r="27" spans="1:9" ht="20.25" customHeight="1" x14ac:dyDescent="0.25">
      <c r="A27" s="69" t="s">
        <v>9</v>
      </c>
      <c r="B27" s="69"/>
      <c r="C27" s="69"/>
      <c r="D27" s="69"/>
      <c r="E27" s="69"/>
      <c r="F27" s="13"/>
      <c r="G27" s="13"/>
      <c r="H27" s="14"/>
      <c r="I27" s="16"/>
    </row>
    <row r="28" spans="1:9" ht="20.25" customHeight="1" x14ac:dyDescent="0.25">
      <c r="A28" s="69" t="s">
        <v>10</v>
      </c>
      <c r="B28" s="69"/>
      <c r="C28" s="69"/>
      <c r="D28" s="69"/>
      <c r="E28" s="69"/>
      <c r="F28" s="13"/>
      <c r="G28" s="13"/>
      <c r="H28" s="14"/>
      <c r="I28" s="16"/>
    </row>
    <row r="29" spans="1:9" ht="25.5" customHeight="1" thickBot="1" x14ac:dyDescent="0.3">
      <c r="A29" t="s">
        <v>43</v>
      </c>
      <c r="B29" s="84"/>
      <c r="C29" s="84"/>
      <c r="D29" s="84"/>
      <c r="E29" s="84"/>
      <c r="F29" s="13"/>
      <c r="G29" s="13"/>
      <c r="H29" s="32">
        <f>SUM(H24:H28)</f>
        <v>0</v>
      </c>
      <c r="I29" s="50" t="s">
        <v>66</v>
      </c>
    </row>
    <row r="30" spans="1:9" ht="15.75" thickTop="1" x14ac:dyDescent="0.25">
      <c r="A30" s="17"/>
      <c r="B30" s="13"/>
      <c r="C30" s="13"/>
      <c r="D30" s="13"/>
      <c r="E30" s="13"/>
      <c r="F30" s="13"/>
      <c r="G30" s="13"/>
      <c r="H30" s="3"/>
      <c r="I30" s="3"/>
    </row>
    <row r="31" spans="1:9" ht="15" x14ac:dyDescent="0.25">
      <c r="A31" s="70" t="s">
        <v>78</v>
      </c>
      <c r="B31" s="70"/>
      <c r="C31" s="70"/>
      <c r="D31" s="70"/>
      <c r="E31" s="70"/>
      <c r="F31" s="13"/>
      <c r="G31" s="13"/>
      <c r="H31" s="6"/>
      <c r="I31" s="16"/>
    </row>
    <row r="32" spans="1:9" ht="20.25" customHeight="1" x14ac:dyDescent="0.25">
      <c r="A32" s="69" t="s">
        <v>11</v>
      </c>
      <c r="B32" s="69"/>
      <c r="C32" s="69"/>
      <c r="D32" s="69"/>
      <c r="E32" s="69"/>
      <c r="F32" s="13"/>
      <c r="G32" s="13"/>
      <c r="H32" s="14"/>
      <c r="I32" s="16"/>
    </row>
    <row r="33" spans="1:9" ht="20.25" customHeight="1" x14ac:dyDescent="0.25">
      <c r="A33" s="69" t="s">
        <v>12</v>
      </c>
      <c r="B33" s="69"/>
      <c r="C33" s="69"/>
      <c r="D33" s="69"/>
      <c r="E33" s="69"/>
      <c r="F33" s="13"/>
      <c r="G33" s="13"/>
      <c r="H33" s="14"/>
      <c r="I33" s="16"/>
    </row>
    <row r="34" spans="1:9" ht="20.25" customHeight="1" x14ac:dyDescent="0.25">
      <c r="A34" s="69" t="s">
        <v>13</v>
      </c>
      <c r="B34" s="69"/>
      <c r="C34" s="69"/>
      <c r="D34" s="69"/>
      <c r="E34" s="69"/>
      <c r="F34" s="13"/>
      <c r="G34" s="13"/>
      <c r="H34" s="14"/>
      <c r="I34" s="16"/>
    </row>
    <row r="35" spans="1:9" ht="20.25" customHeight="1" x14ac:dyDescent="0.25">
      <c r="A35" s="69" t="s">
        <v>14</v>
      </c>
      <c r="B35" s="69"/>
      <c r="C35" s="69"/>
      <c r="D35" s="69"/>
      <c r="E35" s="69"/>
      <c r="F35" s="13"/>
      <c r="G35" s="13"/>
      <c r="H35" s="14"/>
      <c r="I35" s="16"/>
    </row>
    <row r="36" spans="1:9" ht="20.25" customHeight="1" x14ac:dyDescent="0.25">
      <c r="A36" s="69" t="s">
        <v>15</v>
      </c>
      <c r="B36" s="69"/>
      <c r="C36" s="69"/>
      <c r="D36" s="69"/>
      <c r="E36" s="69"/>
      <c r="F36" s="13"/>
      <c r="G36" s="13"/>
      <c r="H36" s="14"/>
      <c r="I36" s="16"/>
    </row>
    <row r="37" spans="1:9" ht="25.5" customHeight="1" thickBot="1" x14ac:dyDescent="0.3">
      <c r="A37" t="s">
        <v>43</v>
      </c>
      <c r="B37" s="84"/>
      <c r="C37" s="84"/>
      <c r="D37" s="84"/>
      <c r="E37" s="84"/>
      <c r="G37" s="13"/>
      <c r="H37" s="32">
        <f>SUM(H32:H36)</f>
        <v>0</v>
      </c>
      <c r="I37" s="50" t="s">
        <v>66</v>
      </c>
    </row>
    <row r="38" spans="1:9" ht="20.25" customHeight="1" thickTop="1" x14ac:dyDescent="0.25">
      <c r="A38" s="6"/>
      <c r="B38" s="13"/>
      <c r="C38" s="13"/>
      <c r="D38" s="13"/>
      <c r="G38" s="13"/>
      <c r="H38" s="6"/>
      <c r="I38" s="16"/>
    </row>
    <row r="39" spans="1:9" ht="15" x14ac:dyDescent="0.25">
      <c r="A39" s="70" t="s">
        <v>77</v>
      </c>
      <c r="B39" s="70"/>
      <c r="C39" s="70"/>
      <c r="D39" s="70"/>
      <c r="E39" s="70"/>
      <c r="F39" s="13"/>
      <c r="G39" s="13"/>
      <c r="H39" s="6"/>
      <c r="I39" s="16"/>
    </row>
    <row r="40" spans="1:9" ht="20.25" customHeight="1" x14ac:dyDescent="0.25">
      <c r="A40" s="69" t="s">
        <v>17</v>
      </c>
      <c r="B40" s="69"/>
      <c r="C40" s="69"/>
      <c r="D40" s="69"/>
      <c r="E40" s="69"/>
      <c r="F40" s="17"/>
      <c r="G40" s="17"/>
      <c r="H40" s="14"/>
      <c r="I40" s="16"/>
    </row>
    <row r="41" spans="1:9" ht="20.25" customHeight="1" x14ac:dyDescent="0.25">
      <c r="A41" s="69" t="s">
        <v>18</v>
      </c>
      <c r="B41" s="69"/>
      <c r="C41" s="69"/>
      <c r="D41" s="69"/>
      <c r="E41" s="69"/>
      <c r="F41" s="17"/>
      <c r="G41" s="17"/>
      <c r="H41" s="14"/>
      <c r="I41" s="16"/>
    </row>
    <row r="42" spans="1:9" ht="20.25" customHeight="1" x14ac:dyDescent="0.25">
      <c r="A42" s="69" t="s">
        <v>19</v>
      </c>
      <c r="B42" s="69"/>
      <c r="C42" s="69"/>
      <c r="D42" s="69"/>
      <c r="E42" s="69"/>
      <c r="F42" s="17"/>
      <c r="G42" s="17"/>
      <c r="H42" s="14"/>
      <c r="I42" s="16"/>
    </row>
    <row r="43" spans="1:9" ht="20.25" customHeight="1" x14ac:dyDescent="0.25">
      <c r="A43" s="69" t="s">
        <v>21</v>
      </c>
      <c r="B43" s="69"/>
      <c r="C43" s="69"/>
      <c r="D43" s="69"/>
      <c r="E43" s="69"/>
      <c r="F43" s="17"/>
      <c r="G43" s="17"/>
      <c r="H43" s="14"/>
      <c r="I43" s="16"/>
    </row>
    <row r="44" spans="1:9" ht="20.25" customHeight="1" x14ac:dyDescent="0.25">
      <c r="A44" s="69" t="s">
        <v>20</v>
      </c>
      <c r="B44" s="69"/>
      <c r="C44" s="69"/>
      <c r="D44" s="69"/>
      <c r="E44" s="69"/>
      <c r="F44" s="17"/>
      <c r="G44" s="17"/>
      <c r="H44" s="14"/>
    </row>
    <row r="45" spans="1:9" ht="25.5" customHeight="1" thickBot="1" x14ac:dyDescent="0.3">
      <c r="A45" t="s">
        <v>43</v>
      </c>
      <c r="B45" s="84"/>
      <c r="C45" s="84"/>
      <c r="D45" s="84"/>
      <c r="E45" s="84"/>
      <c r="F45" s="13"/>
      <c r="G45" s="13"/>
      <c r="H45" s="32">
        <f>SUM(H40:H44)</f>
        <v>0</v>
      </c>
      <c r="I45" s="50" t="s">
        <v>66</v>
      </c>
    </row>
    <row r="46" spans="1:9" ht="15.75" thickTop="1" x14ac:dyDescent="0.25">
      <c r="A46" s="6"/>
      <c r="B46" s="13"/>
      <c r="C46" s="13"/>
      <c r="D46" s="13"/>
      <c r="E46" s="13"/>
      <c r="F46" s="13"/>
      <c r="G46" s="13"/>
      <c r="H46" s="6"/>
      <c r="I46" s="6"/>
    </row>
    <row r="47" spans="1:9" ht="15" x14ac:dyDescent="0.25">
      <c r="A47" s="70" t="s">
        <v>62</v>
      </c>
      <c r="B47" s="70"/>
      <c r="C47" s="70"/>
      <c r="D47" s="70"/>
      <c r="E47" s="70"/>
      <c r="F47" s="7"/>
      <c r="G47" s="7"/>
      <c r="H47" s="16"/>
      <c r="I47" s="16"/>
    </row>
    <row r="48" spans="1:9" ht="20.25" customHeight="1" x14ac:dyDescent="0.25">
      <c r="A48" s="69" t="s">
        <v>23</v>
      </c>
      <c r="B48" s="69"/>
      <c r="C48" s="69"/>
      <c r="D48" s="69"/>
      <c r="E48" s="69"/>
      <c r="F48" s="7"/>
      <c r="G48" s="7"/>
      <c r="H48" s="14"/>
      <c r="I48" s="6"/>
    </row>
    <row r="49" spans="1:9" ht="20.25" customHeight="1" x14ac:dyDescent="0.25">
      <c r="A49" s="69" t="s">
        <v>24</v>
      </c>
      <c r="B49" s="69"/>
      <c r="C49" s="69"/>
      <c r="D49" s="69"/>
      <c r="E49" s="69"/>
      <c r="F49" s="7"/>
      <c r="G49" s="7"/>
      <c r="H49" s="14"/>
      <c r="I49" s="6"/>
    </row>
    <row r="50" spans="1:9" ht="20.25" customHeight="1" x14ac:dyDescent="0.25">
      <c r="A50" s="69" t="s">
        <v>25</v>
      </c>
      <c r="B50" s="69"/>
      <c r="C50" s="69"/>
      <c r="D50" s="69"/>
      <c r="E50" s="69"/>
      <c r="F50" s="7"/>
      <c r="G50" s="7"/>
      <c r="H50" s="14"/>
      <c r="I50" s="6"/>
    </row>
    <row r="51" spans="1:9" ht="20.25" customHeight="1" x14ac:dyDescent="0.25">
      <c r="A51" s="69" t="s">
        <v>26</v>
      </c>
      <c r="B51" s="69"/>
      <c r="C51" s="69"/>
      <c r="D51" s="69"/>
      <c r="E51" s="69"/>
      <c r="F51" s="13"/>
      <c r="G51" s="13"/>
      <c r="H51" s="14"/>
      <c r="I51" s="6"/>
    </row>
    <row r="52" spans="1:9" ht="20.25" customHeight="1" x14ac:dyDescent="0.25">
      <c r="A52" s="69" t="s">
        <v>27</v>
      </c>
      <c r="B52" s="69"/>
      <c r="C52" s="69"/>
      <c r="D52" s="69"/>
      <c r="E52" s="69"/>
      <c r="F52" s="13"/>
      <c r="G52" s="13"/>
      <c r="H52" s="14"/>
    </row>
    <row r="53" spans="1:9" ht="24.75" customHeight="1" thickBot="1" x14ac:dyDescent="0.3">
      <c r="A53" t="s">
        <v>43</v>
      </c>
      <c r="B53" s="84"/>
      <c r="C53" s="84"/>
      <c r="D53" s="84"/>
      <c r="E53" s="84"/>
      <c r="F53" s="13"/>
      <c r="G53" s="13"/>
      <c r="H53" s="32">
        <f>SUM(H48:H52)</f>
        <v>0</v>
      </c>
      <c r="I53" s="50" t="s">
        <v>66</v>
      </c>
    </row>
    <row r="54" spans="1:9" ht="15.75" thickTop="1" x14ac:dyDescent="0.25">
      <c r="A54" s="6"/>
      <c r="B54" s="13"/>
      <c r="C54" s="13"/>
      <c r="D54" s="13"/>
      <c r="E54" s="13"/>
      <c r="F54" s="13"/>
      <c r="G54" s="13"/>
      <c r="H54" s="6"/>
      <c r="I54" s="6"/>
    </row>
    <row r="55" spans="1:9" ht="15" x14ac:dyDescent="0.25">
      <c r="A55" s="70" t="s">
        <v>63</v>
      </c>
      <c r="B55" s="70"/>
      <c r="C55" s="70"/>
      <c r="D55" s="70"/>
      <c r="E55" s="70"/>
      <c r="F55" s="13"/>
      <c r="G55" s="13"/>
      <c r="H55" s="6"/>
      <c r="I55" s="6"/>
    </row>
    <row r="56" spans="1:9" ht="20.25" customHeight="1" x14ac:dyDescent="0.25">
      <c r="A56" s="69" t="s">
        <v>29</v>
      </c>
      <c r="B56" s="69"/>
      <c r="C56" s="69"/>
      <c r="D56" s="69"/>
      <c r="E56" s="69"/>
      <c r="F56" s="13"/>
      <c r="G56" s="13"/>
      <c r="H56" s="14"/>
      <c r="I56" s="6"/>
    </row>
    <row r="57" spans="1:9" ht="20.25" customHeight="1" x14ac:dyDescent="0.25">
      <c r="A57" s="69" t="s">
        <v>30</v>
      </c>
      <c r="B57" s="69"/>
      <c r="C57" s="69"/>
      <c r="D57" s="69"/>
      <c r="E57" s="69"/>
      <c r="F57" s="13"/>
      <c r="G57" s="13"/>
      <c r="H57" s="14"/>
      <c r="I57" s="6"/>
    </row>
    <row r="58" spans="1:9" ht="20.25" customHeight="1" x14ac:dyDescent="0.25">
      <c r="A58" s="69" t="s">
        <v>31</v>
      </c>
      <c r="B58" s="69"/>
      <c r="C58" s="69"/>
      <c r="D58" s="69"/>
      <c r="E58" s="69"/>
      <c r="F58" s="13"/>
      <c r="G58" s="13"/>
      <c r="H58" s="14"/>
      <c r="I58" s="6"/>
    </row>
    <row r="59" spans="1:9" ht="20.25" customHeight="1" x14ac:dyDescent="0.25">
      <c r="A59" s="69" t="s">
        <v>32</v>
      </c>
      <c r="B59" s="69"/>
      <c r="C59" s="69"/>
      <c r="D59" s="69"/>
      <c r="E59" s="69"/>
      <c r="F59" s="13"/>
      <c r="G59" s="13"/>
      <c r="H59" s="14"/>
      <c r="I59" s="6"/>
    </row>
    <row r="60" spans="1:9" ht="20.25" customHeight="1" x14ac:dyDescent="0.25">
      <c r="A60" s="69" t="s">
        <v>33</v>
      </c>
      <c r="B60" s="69"/>
      <c r="C60" s="69"/>
      <c r="D60" s="69"/>
      <c r="E60" s="69"/>
      <c r="F60" s="13"/>
      <c r="G60" s="13"/>
      <c r="H60" s="14"/>
    </row>
    <row r="61" spans="1:9" ht="25.5" customHeight="1" thickBot="1" x14ac:dyDescent="0.3">
      <c r="A61" t="s">
        <v>43</v>
      </c>
      <c r="B61" s="84"/>
      <c r="C61" s="84"/>
      <c r="D61" s="84"/>
      <c r="E61" s="84"/>
      <c r="F61" s="13"/>
      <c r="G61" s="13"/>
      <c r="H61" s="32">
        <f>SUM(H56:H60)</f>
        <v>0</v>
      </c>
      <c r="I61" s="50" t="s">
        <v>66</v>
      </c>
    </row>
    <row r="62" spans="1:9" ht="15.75" thickTop="1" x14ac:dyDescent="0.25">
      <c r="A62" s="6"/>
      <c r="B62" s="13"/>
      <c r="C62" s="13"/>
      <c r="D62" s="13"/>
      <c r="E62" s="13"/>
      <c r="F62" s="13"/>
      <c r="G62" s="13"/>
      <c r="H62" s="6"/>
      <c r="I62" s="6"/>
    </row>
    <row r="63" spans="1:9" ht="15" x14ac:dyDescent="0.25">
      <c r="A63" s="70" t="s">
        <v>64</v>
      </c>
      <c r="B63" s="70"/>
      <c r="C63" s="70"/>
      <c r="D63" s="70"/>
      <c r="E63" s="70"/>
      <c r="F63" s="13"/>
      <c r="G63" s="13"/>
      <c r="H63" s="6"/>
      <c r="I63" s="6"/>
    </row>
    <row r="64" spans="1:9" ht="20.25" customHeight="1" x14ac:dyDescent="0.25">
      <c r="A64" s="69" t="s">
        <v>69</v>
      </c>
      <c r="B64" s="69"/>
      <c r="C64" s="69"/>
      <c r="D64" s="69"/>
      <c r="E64" s="69"/>
      <c r="F64" s="69"/>
      <c r="G64" s="13"/>
      <c r="H64" s="14"/>
      <c r="I64" s="6"/>
    </row>
    <row r="65" spans="1:9" ht="20.25" customHeight="1" x14ac:dyDescent="0.25">
      <c r="A65" s="69" t="s">
        <v>34</v>
      </c>
      <c r="B65" s="69"/>
      <c r="C65" s="69"/>
      <c r="D65" s="69"/>
      <c r="E65" s="69"/>
      <c r="F65" s="13"/>
      <c r="G65" s="13"/>
      <c r="H65" s="14"/>
      <c r="I65" s="6"/>
    </row>
    <row r="66" spans="1:9" ht="20.25" customHeight="1" x14ac:dyDescent="0.25">
      <c r="A66" s="69" t="s">
        <v>35</v>
      </c>
      <c r="B66" s="69"/>
      <c r="C66" s="69"/>
      <c r="D66" s="69"/>
      <c r="E66" s="69"/>
      <c r="F66" s="69"/>
      <c r="G66" s="13"/>
      <c r="H66" s="14"/>
      <c r="I66" s="6"/>
    </row>
    <row r="67" spans="1:9" ht="20.25" customHeight="1" x14ac:dyDescent="0.25">
      <c r="A67" s="69" t="s">
        <v>36</v>
      </c>
      <c r="B67" s="69"/>
      <c r="C67" s="69"/>
      <c r="D67" s="69"/>
      <c r="E67" s="69"/>
      <c r="F67" s="13"/>
      <c r="G67" s="13"/>
      <c r="H67" s="14"/>
      <c r="I67" s="6"/>
    </row>
    <row r="68" spans="1:9" ht="20.25" customHeight="1" x14ac:dyDescent="0.25">
      <c r="A68" s="69" t="s">
        <v>37</v>
      </c>
      <c r="B68" s="69"/>
      <c r="C68" s="69"/>
      <c r="D68" s="69"/>
      <c r="E68" s="69"/>
      <c r="F68" s="13"/>
      <c r="G68" s="13"/>
      <c r="H68" s="14"/>
      <c r="I68" s="15"/>
    </row>
    <row r="69" spans="1:9" ht="25.5" customHeight="1" thickBot="1" x14ac:dyDescent="0.3">
      <c r="A69" t="s">
        <v>43</v>
      </c>
      <c r="B69" s="84"/>
      <c r="C69" s="84"/>
      <c r="D69" s="84"/>
      <c r="E69" s="84"/>
      <c r="F69" s="13"/>
      <c r="G69" s="13"/>
      <c r="H69" s="32">
        <f>SUM(H64:H68)</f>
        <v>0</v>
      </c>
      <c r="I69" s="50" t="s">
        <v>66</v>
      </c>
    </row>
    <row r="70" spans="1:9" ht="15.75" thickTop="1" x14ac:dyDescent="0.25">
      <c r="A70" s="13"/>
      <c r="C70" s="13"/>
      <c r="D70" s="13"/>
      <c r="E70" s="13"/>
      <c r="F70" s="13"/>
      <c r="G70" s="13"/>
      <c r="H70" s="6"/>
      <c r="I70" s="6"/>
    </row>
    <row r="71" spans="1:9" ht="25.5" customHeight="1" x14ac:dyDescent="0.25">
      <c r="A71" s="6"/>
      <c r="B71" s="13"/>
      <c r="C71" s="13"/>
      <c r="D71" s="13"/>
      <c r="E71" s="85" t="s">
        <v>76</v>
      </c>
      <c r="F71" s="85"/>
      <c r="G71" s="19"/>
      <c r="H71" s="33">
        <f>SUM(H21+H29+H37+H45+H53+H61+H69)</f>
        <v>0</v>
      </c>
      <c r="I71" s="50" t="s">
        <v>79</v>
      </c>
    </row>
    <row r="72" spans="1:9" ht="9" customHeight="1" x14ac:dyDescent="0.25">
      <c r="A72" s="6"/>
      <c r="B72" s="6"/>
      <c r="C72" s="6"/>
      <c r="D72" s="6"/>
      <c r="E72" s="6"/>
      <c r="F72" s="6"/>
      <c r="G72" s="6"/>
      <c r="H72" s="6"/>
      <c r="I72" s="6"/>
    </row>
    <row r="73" spans="1:9" ht="15" x14ac:dyDescent="0.25">
      <c r="A73" s="87" t="s">
        <v>41</v>
      </c>
      <c r="B73" s="87"/>
      <c r="C73" s="87"/>
      <c r="D73" s="87"/>
      <c r="E73" s="87"/>
      <c r="F73" s="87"/>
      <c r="G73" s="87"/>
      <c r="H73" s="87"/>
      <c r="I73" s="87"/>
    </row>
    <row r="74" spans="1:9" ht="6" customHeight="1" x14ac:dyDescent="0.25">
      <c r="A74" s="20"/>
      <c r="B74" s="20"/>
      <c r="C74" s="20"/>
      <c r="D74" s="20"/>
      <c r="E74" s="20"/>
      <c r="F74" s="20"/>
      <c r="G74" s="20"/>
      <c r="H74" s="20"/>
      <c r="I74" s="20"/>
    </row>
    <row r="75" spans="1:9" ht="15" x14ac:dyDescent="0.25">
      <c r="A75" s="6"/>
      <c r="B75" s="1" t="s">
        <v>46</v>
      </c>
      <c r="C75" s="21"/>
      <c r="D75" s="21"/>
      <c r="E75" s="13"/>
      <c r="F75" s="13"/>
      <c r="G75" s="13"/>
      <c r="H75" s="22"/>
      <c r="I75" s="6"/>
    </row>
    <row r="76" spans="1:9" ht="21" customHeight="1" x14ac:dyDescent="0.25">
      <c r="A76" s="23"/>
      <c r="B76" s="44" t="s">
        <v>0</v>
      </c>
      <c r="C76" s="17"/>
      <c r="D76" s="17"/>
      <c r="E76" s="13"/>
      <c r="F76" s="13"/>
      <c r="G76" s="13"/>
      <c r="H76" s="34">
        <f>SUM(H21)</f>
        <v>0</v>
      </c>
      <c r="I76" s="15" t="s">
        <v>66</v>
      </c>
    </row>
    <row r="77" spans="1:9" ht="21" customHeight="1" x14ac:dyDescent="0.25">
      <c r="A77" s="23"/>
      <c r="B77" s="44" t="s">
        <v>5</v>
      </c>
      <c r="C77" s="17"/>
      <c r="D77" s="17"/>
      <c r="E77" s="13"/>
      <c r="F77" s="13"/>
      <c r="G77" s="13"/>
      <c r="H77" s="34">
        <f>SUM(H29)</f>
        <v>0</v>
      </c>
      <c r="I77" s="15" t="s">
        <v>66</v>
      </c>
    </row>
    <row r="78" spans="1:9" ht="21" customHeight="1" x14ac:dyDescent="0.25">
      <c r="A78" s="23"/>
      <c r="B78" t="s">
        <v>45</v>
      </c>
      <c r="C78" s="13"/>
      <c r="D78" s="13"/>
      <c r="E78" s="13"/>
      <c r="F78" s="13"/>
      <c r="G78" s="13"/>
      <c r="H78" s="34">
        <f>SUM(H37)</f>
        <v>0</v>
      </c>
      <c r="I78" s="15" t="s">
        <v>66</v>
      </c>
    </row>
    <row r="79" spans="1:9" ht="21" customHeight="1" x14ac:dyDescent="0.25">
      <c r="A79" s="23"/>
      <c r="B79" t="s">
        <v>16</v>
      </c>
      <c r="C79" s="13"/>
      <c r="D79" s="13"/>
      <c r="E79" s="13"/>
      <c r="F79" s="13"/>
      <c r="G79" s="13"/>
      <c r="H79" s="34">
        <f>SUM(H37)</f>
        <v>0</v>
      </c>
      <c r="I79" s="15" t="s">
        <v>66</v>
      </c>
    </row>
    <row r="80" spans="1:9" ht="21" customHeight="1" x14ac:dyDescent="0.25">
      <c r="A80" s="23"/>
      <c r="B80" t="s">
        <v>22</v>
      </c>
      <c r="C80" s="13"/>
      <c r="D80" s="13"/>
      <c r="E80" s="13"/>
      <c r="F80" s="13"/>
      <c r="G80" s="13"/>
      <c r="H80" s="34">
        <f>SUM(H53)</f>
        <v>0</v>
      </c>
      <c r="I80" s="15" t="s">
        <v>66</v>
      </c>
    </row>
    <row r="81" spans="1:18" ht="21" customHeight="1" x14ac:dyDescent="0.25">
      <c r="A81" s="23"/>
      <c r="B81" t="s">
        <v>28</v>
      </c>
      <c r="C81" s="7"/>
      <c r="D81" s="7"/>
      <c r="E81" s="6"/>
      <c r="F81" s="6"/>
      <c r="G81" s="6"/>
      <c r="H81" s="35">
        <f>SUM(H61)</f>
        <v>0</v>
      </c>
      <c r="I81" s="15" t="s">
        <v>66</v>
      </c>
    </row>
    <row r="82" spans="1:18" ht="21" customHeight="1" x14ac:dyDescent="0.25">
      <c r="A82" s="23"/>
      <c r="B82" t="s">
        <v>48</v>
      </c>
      <c r="C82" s="7"/>
      <c r="D82" s="7"/>
      <c r="E82" s="6"/>
      <c r="F82" s="6"/>
      <c r="G82" s="6"/>
      <c r="H82" s="35">
        <f>SUM(H69)</f>
        <v>0</v>
      </c>
      <c r="I82" s="15" t="s">
        <v>66</v>
      </c>
    </row>
    <row r="83" spans="1:18" ht="20.25" customHeight="1" thickBot="1" x14ac:dyDescent="0.3">
      <c r="A83" s="6"/>
      <c r="B83" s="7"/>
      <c r="C83" s="7"/>
      <c r="D83" s="7"/>
      <c r="E83" s="7"/>
      <c r="F83" s="7"/>
      <c r="G83" s="7"/>
      <c r="H83" s="41">
        <f>SUM(H76+H77+H78+H79+H80+H81+H82)/175*80%</f>
        <v>0</v>
      </c>
      <c r="I83" s="50" t="s">
        <v>65</v>
      </c>
    </row>
    <row r="84" spans="1:18" ht="15.75" thickTop="1" x14ac:dyDescent="0.25">
      <c r="B84" s="1" t="s">
        <v>49</v>
      </c>
      <c r="C84" s="18"/>
      <c r="D84" s="18"/>
      <c r="E84" s="7"/>
      <c r="F84" s="7"/>
      <c r="G84" s="7"/>
      <c r="H84" s="7"/>
      <c r="I84" s="24"/>
    </row>
    <row r="85" spans="1:18" ht="21" customHeight="1" x14ac:dyDescent="0.25">
      <c r="B85" t="s">
        <v>50</v>
      </c>
      <c r="C85" s="7"/>
      <c r="D85" s="7"/>
      <c r="F85" s="40" t="s">
        <v>88</v>
      </c>
      <c r="G85" s="7"/>
      <c r="H85" s="31" t="str">
        <f>IF(F85="Hadir",3.333333%,IF(F85="Tidak Hadir",0%,""))</f>
        <v/>
      </c>
      <c r="I85" s="50" t="s">
        <v>74</v>
      </c>
    </row>
    <row r="86" spans="1:18" ht="21" customHeight="1" x14ac:dyDescent="0.25">
      <c r="B86" t="s">
        <v>51</v>
      </c>
      <c r="C86" s="7"/>
      <c r="D86" s="7"/>
      <c r="F86" s="40" t="s">
        <v>88</v>
      </c>
      <c r="G86" s="7"/>
      <c r="H86" s="31" t="str">
        <f>IF(F86="Tiada",3.333333%,IF(F86="0.5 Hari",3.333333%,IF(F86="1 Hari",3.333333%,IF(F86="1.5 Hari",3%,IF(F86="2 Hari",2.7%,IF(F86="2.5 Hari",2.3%,IF(F86="Lebih 3 Hari","0.00%","")))))))</f>
        <v/>
      </c>
      <c r="I86" s="50" t="s">
        <v>74</v>
      </c>
    </row>
    <row r="87" spans="1:18" ht="21" customHeight="1" x14ac:dyDescent="0.25">
      <c r="B87" t="s">
        <v>52</v>
      </c>
      <c r="C87" s="7"/>
      <c r="D87" s="7"/>
      <c r="F87" s="40" t="s">
        <v>88</v>
      </c>
      <c r="G87" s="7"/>
      <c r="H87" s="31" t="str">
        <f>IF(F87="Tiada",3.333333%,IF(F87="1 Hari",3.333333%,IF(F87="2 Hari",3.333333%,IF(F87="3 Hari",2.666666%,IF(F87="4 Hari",1.833333%,IF(F87="5 Hari",0.666666%,IF(F87="Lebih 6 Hari",0%,"")))))))</f>
        <v/>
      </c>
      <c r="I87" s="50" t="s">
        <v>74</v>
      </c>
    </row>
    <row r="88" spans="1:18" ht="20.25" customHeight="1" thickBot="1" x14ac:dyDescent="0.3">
      <c r="B88" s="7"/>
      <c r="C88" s="7"/>
      <c r="D88" s="7"/>
      <c r="E88" s="23"/>
      <c r="F88" s="42"/>
      <c r="G88" s="7"/>
      <c r="H88" s="39">
        <f>SUM(H85:H87)</f>
        <v>0</v>
      </c>
      <c r="I88" s="50" t="s">
        <v>67</v>
      </c>
    </row>
    <row r="89" spans="1:18" ht="15.75" thickTop="1" x14ac:dyDescent="0.25">
      <c r="B89" s="1" t="s">
        <v>53</v>
      </c>
      <c r="C89" s="18"/>
      <c r="D89" s="18"/>
      <c r="E89" s="23"/>
      <c r="F89" s="42"/>
      <c r="G89" s="7"/>
      <c r="H89" s="6"/>
      <c r="I89" s="25"/>
    </row>
    <row r="90" spans="1:18" ht="21" customHeight="1" x14ac:dyDescent="0.25">
      <c r="B90" t="s">
        <v>54</v>
      </c>
      <c r="C90" s="7"/>
      <c r="D90" s="7"/>
      <c r="E90" s="23"/>
      <c r="F90" s="40" t="s">
        <v>88</v>
      </c>
      <c r="G90" s="26"/>
      <c r="H90" s="31" t="str">
        <f>IF(F90=1,2.5%,IF(F90=2,5%,IF(F90="Tiada",0%,"")))</f>
        <v/>
      </c>
      <c r="I90" s="50" t="s">
        <v>72</v>
      </c>
      <c r="M90" s="27"/>
    </row>
    <row r="91" spans="1:18" ht="21" customHeight="1" x14ac:dyDescent="0.25">
      <c r="B91" t="s">
        <v>55</v>
      </c>
      <c r="C91" s="7"/>
      <c r="D91" s="7"/>
      <c r="E91" s="23"/>
      <c r="F91" s="40" t="s">
        <v>88</v>
      </c>
      <c r="G91" s="26"/>
      <c r="H91" s="31" t="str">
        <f>IF(F91=1,2.5%,IF(F91=2,5%,IF(F91="Tiada",0%,"")))</f>
        <v/>
      </c>
      <c r="I91" s="50" t="s">
        <v>72</v>
      </c>
      <c r="M91" s="27"/>
    </row>
    <row r="92" spans="1:18" ht="20.25" customHeight="1" thickBot="1" x14ac:dyDescent="0.3">
      <c r="B92" s="7"/>
      <c r="C92" s="7"/>
      <c r="D92" s="7"/>
      <c r="E92" s="23"/>
      <c r="F92" s="42"/>
      <c r="G92" s="7"/>
      <c r="H92" s="38">
        <f>SUM(H90:H91)</f>
        <v>0</v>
      </c>
      <c r="I92" s="50" t="s">
        <v>67</v>
      </c>
    </row>
    <row r="93" spans="1:18" ht="15.75" thickTop="1" x14ac:dyDescent="0.25">
      <c r="B93" s="1" t="s">
        <v>56</v>
      </c>
      <c r="C93" s="18"/>
      <c r="D93" s="18"/>
      <c r="E93" s="23"/>
      <c r="F93" s="42"/>
      <c r="G93" s="7"/>
      <c r="H93" s="6"/>
      <c r="I93" s="25"/>
    </row>
    <row r="94" spans="1:18" ht="21" customHeight="1" x14ac:dyDescent="0.25">
      <c r="B94" t="s">
        <v>73</v>
      </c>
      <c r="C94" s="7"/>
      <c r="D94" s="7"/>
      <c r="E94" s="23"/>
      <c r="F94" s="40" t="s">
        <v>88</v>
      </c>
      <c r="G94" s="26"/>
      <c r="H94" s="31" t="str">
        <f>IF(F94="Hadir",5%,IF(F94="Tiada",0%,""))</f>
        <v/>
      </c>
      <c r="I94" s="50" t="s">
        <v>72</v>
      </c>
    </row>
    <row r="95" spans="1:18" ht="21" customHeight="1" x14ac:dyDescent="0.25">
      <c r="B95" t="s">
        <v>57</v>
      </c>
      <c r="C95" s="7"/>
      <c r="D95" s="7"/>
      <c r="F95" s="40" t="s">
        <v>88</v>
      </c>
      <c r="G95" s="26"/>
      <c r="H95" s="31" t="str">
        <f>IF(F95="Pengerusi",5%,IF(F95="Naib Pengerusi",3.8%,IF(F95="Setiausaha",2.5%,IF(F95="AJK",1.3%,IF(F95="Tiada",0%,"")))))</f>
        <v/>
      </c>
      <c r="I95" s="50" t="s">
        <v>72</v>
      </c>
      <c r="L95" s="28"/>
      <c r="N95" s="27"/>
      <c r="P95" s="27"/>
      <c r="R95" s="27"/>
    </row>
    <row r="96" spans="1:18" ht="20.25" customHeight="1" thickBot="1" x14ac:dyDescent="0.3">
      <c r="B96" s="7"/>
      <c r="C96" s="7"/>
      <c r="D96" s="7"/>
      <c r="E96" s="7"/>
      <c r="F96" s="43"/>
      <c r="G96" s="26"/>
      <c r="H96" s="38">
        <f>SUM(H94:H95)</f>
        <v>0</v>
      </c>
      <c r="I96" s="50" t="s">
        <v>67</v>
      </c>
    </row>
    <row r="97" spans="1:9" ht="15.75" thickTop="1" x14ac:dyDescent="0.25">
      <c r="B97" s="1" t="s">
        <v>71</v>
      </c>
      <c r="C97" s="7"/>
      <c r="D97" s="7"/>
      <c r="E97" s="7"/>
      <c r="F97" s="43"/>
      <c r="G97" s="26"/>
      <c r="H97" s="12"/>
      <c r="I97" s="15"/>
    </row>
    <row r="98" spans="1:9" ht="21" customHeight="1" x14ac:dyDescent="0.25">
      <c r="B98" t="s">
        <v>68</v>
      </c>
      <c r="C98" s="7"/>
      <c r="D98" s="7"/>
      <c r="E98" s="7"/>
      <c r="F98" s="40" t="s">
        <v>88</v>
      </c>
      <c r="G98" s="26"/>
      <c r="H98" s="31" t="str">
        <f>IF(F98="Ya",10%,IF(F98="Tiada",0%,""))</f>
        <v/>
      </c>
      <c r="I98" s="50" t="s">
        <v>67</v>
      </c>
    </row>
    <row r="99" spans="1:9" ht="21" customHeight="1" thickBot="1" x14ac:dyDescent="0.3">
      <c r="B99" s="7"/>
      <c r="C99" s="7"/>
      <c r="D99" s="7"/>
      <c r="E99" s="7"/>
      <c r="F99" s="36"/>
      <c r="G99" s="26"/>
      <c r="H99" s="38">
        <f>SUM(H98)</f>
        <v>0</v>
      </c>
      <c r="I99" s="50" t="s">
        <v>67</v>
      </c>
    </row>
    <row r="100" spans="1:9" ht="15.75" thickTop="1" x14ac:dyDescent="0.25">
      <c r="A100" s="6"/>
      <c r="B100" s="7"/>
      <c r="C100" s="7"/>
      <c r="D100" s="7"/>
      <c r="E100" s="7"/>
      <c r="F100" s="7"/>
      <c r="G100" s="7"/>
      <c r="H100" s="6"/>
      <c r="I100" s="25"/>
    </row>
    <row r="101" spans="1:9" ht="25.5" customHeight="1" x14ac:dyDescent="0.25">
      <c r="A101" s="6"/>
      <c r="B101" s="7"/>
      <c r="C101" s="7"/>
      <c r="D101" s="7"/>
      <c r="E101" s="85" t="s">
        <v>75</v>
      </c>
      <c r="F101" s="85"/>
      <c r="G101" s="29"/>
      <c r="H101" s="37">
        <f>SUM(H83+H88+H92+H96+H99)</f>
        <v>0</v>
      </c>
      <c r="I101" s="51" t="s">
        <v>80</v>
      </c>
    </row>
    <row r="103" spans="1:9" ht="15" x14ac:dyDescent="0.25">
      <c r="A103" s="86" t="s">
        <v>58</v>
      </c>
      <c r="B103" s="87"/>
      <c r="C103" s="87"/>
      <c r="D103" s="87"/>
      <c r="E103" s="87"/>
      <c r="F103" s="87"/>
      <c r="G103" s="87"/>
      <c r="H103" s="87"/>
      <c r="I103" s="87"/>
    </row>
    <row r="104" spans="1:9" ht="9" customHeight="1" x14ac:dyDescent="0.25">
      <c r="A104" s="13"/>
      <c r="B104" s="13"/>
      <c r="C104" s="13"/>
      <c r="D104" s="13"/>
      <c r="E104" s="13"/>
      <c r="F104" s="13"/>
      <c r="G104" s="13"/>
      <c r="H104" s="13"/>
      <c r="I104" s="13"/>
    </row>
    <row r="105" spans="1:9" ht="15" x14ac:dyDescent="0.25">
      <c r="A105" s="89" t="s">
        <v>87</v>
      </c>
      <c r="B105" s="89"/>
      <c r="C105" s="89"/>
      <c r="D105" s="89"/>
      <c r="E105" s="89"/>
      <c r="F105" s="89"/>
      <c r="G105" s="89"/>
      <c r="H105" s="89"/>
      <c r="I105" s="89"/>
    </row>
    <row r="106" spans="1:9" ht="45" customHeight="1" x14ac:dyDescent="0.25">
      <c r="A106" s="92"/>
      <c r="B106" s="92"/>
      <c r="C106" s="92"/>
      <c r="D106" s="92"/>
      <c r="E106" s="92"/>
      <c r="F106" s="92"/>
      <c r="G106" s="92"/>
      <c r="H106" s="92"/>
      <c r="I106" s="92"/>
    </row>
    <row r="107" spans="1:9" ht="45" customHeight="1" x14ac:dyDescent="0.25">
      <c r="A107" s="92"/>
      <c r="B107" s="92"/>
      <c r="C107" s="92"/>
      <c r="D107" s="92"/>
      <c r="E107" s="92"/>
      <c r="F107" s="92"/>
      <c r="G107" s="92"/>
      <c r="H107" s="92"/>
      <c r="I107" s="92"/>
    </row>
    <row r="108" spans="1:9" ht="9" customHeight="1" x14ac:dyDescent="0.25">
      <c r="A108" s="17"/>
      <c r="B108" s="17"/>
      <c r="C108" s="17"/>
      <c r="D108" s="17"/>
      <c r="E108" s="17"/>
      <c r="F108" s="17"/>
      <c r="G108" s="17"/>
      <c r="H108" s="17"/>
      <c r="I108" s="17"/>
    </row>
    <row r="109" spans="1:9" ht="15" x14ac:dyDescent="0.25">
      <c r="A109" s="88" t="s">
        <v>59</v>
      </c>
      <c r="B109" s="88"/>
      <c r="C109" s="88"/>
      <c r="D109" s="88"/>
      <c r="E109" s="88"/>
      <c r="F109" s="88"/>
      <c r="G109" s="88"/>
      <c r="H109" s="88"/>
      <c r="I109" s="88"/>
    </row>
    <row r="110" spans="1:9" ht="28.5" customHeight="1" x14ac:dyDescent="0.25">
      <c r="A110" s="92"/>
      <c r="B110" s="92"/>
      <c r="C110" s="92"/>
      <c r="D110" s="92"/>
      <c r="E110" s="92"/>
      <c r="F110" s="92"/>
      <c r="G110" s="92"/>
      <c r="H110" s="92"/>
      <c r="I110" s="92"/>
    </row>
    <row r="111" spans="1:9" ht="28.5" customHeight="1" x14ac:dyDescent="0.25">
      <c r="A111" s="92"/>
      <c r="B111" s="92"/>
      <c r="C111" s="92"/>
      <c r="D111" s="92"/>
      <c r="E111" s="92"/>
      <c r="F111" s="92"/>
      <c r="G111" s="92"/>
      <c r="H111" s="92"/>
      <c r="I111" s="92"/>
    </row>
    <row r="112" spans="1:9" ht="15" x14ac:dyDescent="0.25">
      <c r="A112" s="30"/>
      <c r="B112" s="30"/>
      <c r="C112" s="30"/>
      <c r="D112" s="30"/>
      <c r="E112" s="30"/>
      <c r="F112" s="30"/>
      <c r="G112" s="30"/>
      <c r="H112" s="30"/>
      <c r="I112" s="30"/>
    </row>
    <row r="113" spans="1:9" ht="18" customHeight="1" x14ac:dyDescent="0.25">
      <c r="A113" s="82" t="s">
        <v>42</v>
      </c>
      <c r="B113" s="82"/>
      <c r="C113" s="83"/>
      <c r="D113" s="83"/>
      <c r="F113" s="52" t="s">
        <v>39</v>
      </c>
      <c r="G113" s="90"/>
      <c r="H113" s="90"/>
      <c r="I113" s="7"/>
    </row>
    <row r="114" spans="1:9" ht="15" x14ac:dyDescent="0.25">
      <c r="A114" s="17"/>
      <c r="B114" s="7"/>
      <c r="C114" s="97"/>
      <c r="D114" s="97"/>
      <c r="E114" s="7"/>
      <c r="F114" s="7"/>
      <c r="G114" s="7"/>
      <c r="H114" s="7"/>
      <c r="I114" s="7"/>
    </row>
    <row r="115" spans="1:9" ht="15" x14ac:dyDescent="0.25">
      <c r="A115" s="17"/>
      <c r="B115" s="7"/>
      <c r="C115" s="16"/>
      <c r="D115" s="16"/>
      <c r="E115" s="7"/>
      <c r="F115" s="7"/>
      <c r="G115" s="7"/>
      <c r="H115" s="7"/>
      <c r="I115" s="7"/>
    </row>
    <row r="116" spans="1:9" ht="15" x14ac:dyDescent="0.25">
      <c r="A116" s="89" t="s">
        <v>86</v>
      </c>
      <c r="B116" s="89"/>
      <c r="C116" s="89"/>
      <c r="D116" s="89"/>
      <c r="E116" s="89"/>
      <c r="F116" s="89"/>
      <c r="G116" s="89"/>
      <c r="H116" s="89"/>
      <c r="I116" s="89"/>
    </row>
    <row r="117" spans="1:9" ht="45" customHeight="1" x14ac:dyDescent="0.25">
      <c r="A117" s="92"/>
      <c r="B117" s="92"/>
      <c r="C117" s="92"/>
      <c r="D117" s="92"/>
      <c r="E117" s="92"/>
      <c r="F117" s="92"/>
      <c r="G117" s="92"/>
      <c r="H117" s="92"/>
      <c r="I117" s="92"/>
    </row>
    <row r="118" spans="1:9" ht="45" customHeight="1" x14ac:dyDescent="0.25">
      <c r="A118" s="92"/>
      <c r="B118" s="92"/>
      <c r="C118" s="92"/>
      <c r="D118" s="92"/>
      <c r="E118" s="92"/>
      <c r="F118" s="92"/>
      <c r="G118" s="92"/>
      <c r="H118" s="92"/>
      <c r="I118" s="92"/>
    </row>
    <row r="119" spans="1:9" ht="15" x14ac:dyDescent="0.25">
      <c r="A119" s="6"/>
      <c r="B119" s="6"/>
      <c r="C119" s="6"/>
      <c r="D119" s="6"/>
      <c r="E119" s="6"/>
      <c r="F119" s="6"/>
      <c r="G119" s="6"/>
      <c r="H119" s="6"/>
      <c r="I119" s="6"/>
    </row>
    <row r="120" spans="1:9" ht="15" x14ac:dyDescent="0.25">
      <c r="A120" s="6"/>
      <c r="B120" s="6"/>
      <c r="C120" s="6"/>
      <c r="D120" s="6"/>
      <c r="E120" s="6"/>
      <c r="F120" s="6"/>
      <c r="G120" s="6"/>
      <c r="H120" s="6"/>
      <c r="I120" s="6"/>
    </row>
    <row r="121" spans="1:9" ht="18" customHeight="1" x14ac:dyDescent="0.25">
      <c r="A121" s="98" t="s">
        <v>42</v>
      </c>
      <c r="B121" s="98"/>
      <c r="C121" s="83"/>
      <c r="D121" s="83"/>
      <c r="F121" s="52" t="s">
        <v>39</v>
      </c>
      <c r="G121" s="90"/>
      <c r="H121" s="90"/>
      <c r="I121" s="7"/>
    </row>
    <row r="122" spans="1:9" x14ac:dyDescent="0.25">
      <c r="C122" s="99"/>
      <c r="D122" s="99"/>
      <c r="H122" s="3"/>
      <c r="I122" s="3"/>
    </row>
  </sheetData>
  <sheetProtection algorithmName="SHA-512" hashValue="Go3SyucJRplgnB9iE29Z2BXszQ4ICACwkllqZKRi40RTWMGo12GTR8Q5ZgPqBPP6QwcUcslwnIRvrlTwj58Oaw==" saltValue="OQo1sgMEC7Xc/wupaEDzQg==" spinCount="100000" sheet="1" objects="1" scenarios="1"/>
  <dataConsolidate/>
  <mergeCells count="81">
    <mergeCell ref="C114:D114"/>
    <mergeCell ref="A117:I118"/>
    <mergeCell ref="A121:B121"/>
    <mergeCell ref="C122:D122"/>
    <mergeCell ref="A116:I116"/>
    <mergeCell ref="G121:H121"/>
    <mergeCell ref="C121:D121"/>
    <mergeCell ref="F5:I5"/>
    <mergeCell ref="A106:I107"/>
    <mergeCell ref="A110:I111"/>
    <mergeCell ref="A9:I10"/>
    <mergeCell ref="B21:E21"/>
    <mergeCell ref="B29:E29"/>
    <mergeCell ref="B37:E37"/>
    <mergeCell ref="B45:E45"/>
    <mergeCell ref="B53:E53"/>
    <mergeCell ref="C5:D5"/>
    <mergeCell ref="A6:B6"/>
    <mergeCell ref="C6:D6"/>
    <mergeCell ref="F6:I6"/>
    <mergeCell ref="A8:I8"/>
    <mergeCell ref="A5:B5"/>
    <mergeCell ref="A20:E20"/>
    <mergeCell ref="A113:B113"/>
    <mergeCell ref="C113:D113"/>
    <mergeCell ref="B61:E61"/>
    <mergeCell ref="B69:E69"/>
    <mergeCell ref="E71:F71"/>
    <mergeCell ref="E101:F101"/>
    <mergeCell ref="A103:I103"/>
    <mergeCell ref="A73:I73"/>
    <mergeCell ref="A109:I109"/>
    <mergeCell ref="A105:I105"/>
    <mergeCell ref="G113:H113"/>
    <mergeCell ref="A65:E65"/>
    <mergeCell ref="A63:E63"/>
    <mergeCell ref="A68:E68"/>
    <mergeCell ref="A67:E67"/>
    <mergeCell ref="A66:F66"/>
    <mergeCell ref="G1:I1"/>
    <mergeCell ref="B2:I2"/>
    <mergeCell ref="A4:B4"/>
    <mergeCell ref="C4:D4"/>
    <mergeCell ref="F4:I4"/>
    <mergeCell ref="A3:I3"/>
    <mergeCell ref="A19:E19"/>
    <mergeCell ref="A18:E18"/>
    <mergeCell ref="A17:E17"/>
    <mergeCell ref="A16:E16"/>
    <mergeCell ref="A15:E15"/>
    <mergeCell ref="A23:E23"/>
    <mergeCell ref="A36:E36"/>
    <mergeCell ref="A35:E35"/>
    <mergeCell ref="A34:E34"/>
    <mergeCell ref="A33:E33"/>
    <mergeCell ref="A32:E32"/>
    <mergeCell ref="A31:E31"/>
    <mergeCell ref="A28:E28"/>
    <mergeCell ref="A27:E27"/>
    <mergeCell ref="A26:E26"/>
    <mergeCell ref="A25:E25"/>
    <mergeCell ref="A24:E24"/>
    <mergeCell ref="A39:E39"/>
    <mergeCell ref="A52:E52"/>
    <mergeCell ref="A51:E51"/>
    <mergeCell ref="A50:E50"/>
    <mergeCell ref="A49:E49"/>
    <mergeCell ref="A48:E48"/>
    <mergeCell ref="A47:E47"/>
    <mergeCell ref="A44:E44"/>
    <mergeCell ref="A43:E43"/>
    <mergeCell ref="A42:E42"/>
    <mergeCell ref="A41:E41"/>
    <mergeCell ref="A40:E40"/>
    <mergeCell ref="A64:F64"/>
    <mergeCell ref="A55:E55"/>
    <mergeCell ref="A56:E56"/>
    <mergeCell ref="A58:E58"/>
    <mergeCell ref="A57:E57"/>
    <mergeCell ref="A60:E60"/>
    <mergeCell ref="A59:E59"/>
  </mergeCells>
  <dataValidations count="8">
    <dataValidation type="list" allowBlank="1" showInputMessage="1" showErrorMessage="1" prompt="5-Cemerlang_x000a_4-Baik_x000a_3-Sederhana_x000a_2-Lemah_x000a_1-Gagal" sqref="H16:H20 H24:H28 H32:H36 H40:H44 H48:H52 H56:H60 H64:H68" xr:uid="{2E051FB9-DBF4-4541-A991-E44063C50E8C}">
      <formula1>"Sila Tekan,5,4,3,2,1"</formula1>
    </dataValidation>
    <dataValidation type="list" allowBlank="1" showInputMessage="1" showErrorMessage="1" sqref="F87" xr:uid="{7947424F-A229-4055-AA4E-471FE39BDF9D}">
      <formula1>"Pilih, Tiada, 1 Hari, 2 Hari, 3 Hari, 4 Hari, 5 Hari, Lebih 6 Hari"</formula1>
    </dataValidation>
    <dataValidation type="list" allowBlank="1" showInputMessage="1" showErrorMessage="1" sqref="F86" xr:uid="{F1840FEA-650B-4865-935A-63E3E265447A}">
      <formula1>"Pilih, Tiada, 0.5 Hari, 1 Hari, 1.5 Hari, 2 Hari, 2.5 Hari, Lebih 3 Hari"</formula1>
    </dataValidation>
    <dataValidation type="list" allowBlank="1" showInputMessage="1" showErrorMessage="1" sqref="F98:F99" xr:uid="{4E71935B-2EF6-4869-9730-FFA764224372}">
      <formula1>"Pilih,Ya,Tiada"</formula1>
    </dataValidation>
    <dataValidation type="list" allowBlank="1" showInputMessage="1" showErrorMessage="1" sqref="F94" xr:uid="{03C8CD80-1A18-4BE4-BAF7-7CA37E0F3BD7}">
      <formula1>"Pilih,Hadir,Tiada"</formula1>
    </dataValidation>
    <dataValidation type="list" allowBlank="1" showInputMessage="1" showErrorMessage="1" sqref="F95" xr:uid="{CCC9706F-2F73-4E43-976E-31ED150B011B}">
      <formula1>"Pilih,Pengerusi,Naib Pengerusi,Setiausaha,AJK,Tiada"</formula1>
    </dataValidation>
    <dataValidation type="list" allowBlank="1" showInputMessage="1" showErrorMessage="1" sqref="F85" xr:uid="{F97DE5AD-D3D9-466F-83A0-51DD1CCA9B47}">
      <formula1>"Pilih, Hadir,Tidak Hadir"</formula1>
    </dataValidation>
    <dataValidation type="list" allowBlank="1" showInputMessage="1" showErrorMessage="1" sqref="F90:F91" xr:uid="{0DBFEFAC-C997-4BE4-A849-774B1DA7AE05}">
      <formula1>"Pilih,1,2,Tiada"</formula1>
    </dataValidation>
  </dataValidations>
  <printOptions horizontalCentered="1"/>
  <pageMargins left="0.59055118110236227" right="0.62992125984251968" top="0.31496062992125984" bottom="0.31496062992125984" header="0.31496062992125984" footer="0.31496062992125984"/>
  <pageSetup paperSize="9" scale="94" orientation="portrait" horizontalDpi="1200" verticalDpi="1200" r:id="rId1"/>
  <headerFooter>
    <oddFooter>&amp;R&amp;P</oddFooter>
  </headerFooter>
  <rowBreaks count="2" manualBreakCount="2">
    <brk id="40" max="8" man="1"/>
    <brk id="83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Panduan</vt:lpstr>
      <vt:lpstr>MASTER</vt:lpstr>
      <vt:lpstr>MASTER!Print_Area</vt:lpstr>
      <vt:lpstr>Panduan!Print_Area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jamalisback</cp:lastModifiedBy>
  <cp:lastPrinted>2026-02-26T02:54:43Z</cp:lastPrinted>
  <dcterms:created xsi:type="dcterms:W3CDTF">2023-02-22T10:41:32Z</dcterms:created>
  <dcterms:modified xsi:type="dcterms:W3CDTF">2026-03-30T01:55:14Z</dcterms:modified>
</cp:coreProperties>
</file>